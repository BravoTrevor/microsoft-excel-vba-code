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7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8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evor\Documents\Mesh\"/>
    </mc:Choice>
  </mc:AlternateContent>
  <xr:revisionPtr revIDLastSave="0" documentId="13_ncr:1_{D14C7203-AA41-4ECB-A119-01EBD14F7AC1}" xr6:coauthVersionLast="47" xr6:coauthVersionMax="47" xr10:uidLastSave="{00000000-0000-0000-0000-000000000000}"/>
  <bookViews>
    <workbookView xWindow="450" yWindow="0" windowWidth="10290" windowHeight="9330" firstSheet="1" activeTab="2" xr2:uid="{00000000-000D-0000-FFFF-FFFF00000000}"/>
  </bookViews>
  <sheets>
    <sheet name="e, CEM I" sheetId="2" r:id="rId1"/>
    <sheet name="e, CEM II" sheetId="1" r:id="rId2"/>
    <sheet name="e, CEM prompts" sheetId="17" r:id="rId3"/>
    <sheet name="Sheet2" sheetId="14" r:id="rId4"/>
    <sheet name="Sheet2 prompts" sheetId="15" r:id="rId5"/>
    <sheet name="f, CEM I" sheetId="3" r:id="rId6"/>
    <sheet name="f, CEM II" sheetId="4" r:id="rId7"/>
    <sheet name="CEM II, Mix Design" sheetId="6" r:id="rId8"/>
    <sheet name="BRE Mix Design Charts" sheetId="7" r:id="rId9"/>
    <sheet name="BRE prompts" sheetId="16" r:id="rId10"/>
    <sheet name="FIGURE 6, 10mm" sheetId="8" r:id="rId11"/>
    <sheet name="FIGURE 6, 20mm" sheetId="9" r:id="rId12"/>
    <sheet name="FIGURE 6, 40mm" sheetId="10" r:id="rId13"/>
    <sheet name="Figure6 prompts" sheetId="11" r:id="rId14"/>
    <sheet name="SheetNames" sheetId="12" r:id="rId15"/>
    <sheet name="SheetNames_Slump" sheetId="13" r:id="rId16"/>
  </sheets>
  <functionGroups builtInGroupCount="19"/>
  <definedNames>
    <definedName name="Range_0">Sheet2!$A$1:$B$7</definedName>
    <definedName name="Range_10">Sheet2!$G$1:$H$7</definedName>
    <definedName name="Range_15">Sheet2!$J$1:$K$7</definedName>
    <definedName name="Range_5">Sheet2!$D$1:$E$7</definedName>
    <definedName name="SheetNames">SheetNames!$A$1:$B$4</definedName>
    <definedName name="SlumpDropdownOptions">SheetNames_Slump!$A$1:$B$5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B1" i="11"/>
  <c r="C1" i="11" s="1"/>
  <c r="B2" i="11"/>
  <c r="B4" i="16"/>
  <c r="B17" i="16"/>
  <c r="B16" i="16"/>
  <c r="H36" i="6"/>
  <c r="B11" i="16"/>
  <c r="B9" i="16"/>
  <c r="B2" i="16"/>
  <c r="H30" i="6"/>
  <c r="H31" i="6" s="1"/>
  <c r="H32" i="6" s="1"/>
  <c r="H42" i="6"/>
  <c r="B10" i="16"/>
  <c r="B3" i="16"/>
  <c r="D24" i="6"/>
  <c r="E3" i="7"/>
  <c r="F3" i="7" s="1"/>
  <c r="G3" i="7" s="1"/>
  <c r="H3" i="7" s="1"/>
  <c r="I3" i="7" s="1"/>
  <c r="J3" i="7" s="1"/>
  <c r="B2" i="10"/>
  <c r="C2" i="10"/>
  <c r="D2" i="10"/>
  <c r="E2" i="10"/>
  <c r="F2" i="10"/>
  <c r="I2" i="10"/>
  <c r="J2" i="10"/>
  <c r="K2" i="10"/>
  <c r="L2" i="10"/>
  <c r="M2" i="10"/>
  <c r="P2" i="10"/>
  <c r="Q2" i="10"/>
  <c r="R2" i="10"/>
  <c r="S2" i="10"/>
  <c r="T2" i="10"/>
  <c r="W2" i="10"/>
  <c r="X2" i="10"/>
  <c r="Y2" i="10"/>
  <c r="Z2" i="10"/>
  <c r="AA2" i="10"/>
  <c r="A3" i="10"/>
  <c r="H3" i="10"/>
  <c r="K3" i="10" s="1"/>
  <c r="J3" i="10"/>
  <c r="L3" i="10"/>
  <c r="M3" i="10"/>
  <c r="O3" i="10"/>
  <c r="S3" i="10"/>
  <c r="V3" i="10"/>
  <c r="Y3" i="10" s="1"/>
  <c r="X3" i="10"/>
  <c r="Z3" i="10"/>
  <c r="AA3" i="10"/>
  <c r="H4" i="10"/>
  <c r="K4" i="10" s="1"/>
  <c r="J4" i="10"/>
  <c r="L4" i="10"/>
  <c r="V4" i="10"/>
  <c r="Y4" i="10" s="1"/>
  <c r="X4" i="10"/>
  <c r="Z4" i="10"/>
  <c r="H5" i="10"/>
  <c r="K5" i="10" s="1"/>
  <c r="J5" i="10"/>
  <c r="L5" i="10"/>
  <c r="V5" i="10"/>
  <c r="Y5" i="10" s="1"/>
  <c r="X5" i="10"/>
  <c r="Z5" i="10"/>
  <c r="B2" i="9"/>
  <c r="C2" i="9"/>
  <c r="D2" i="9"/>
  <c r="E2" i="9"/>
  <c r="F2" i="9"/>
  <c r="I2" i="9"/>
  <c r="J2" i="9"/>
  <c r="K2" i="9"/>
  <c r="L2" i="9"/>
  <c r="M2" i="9"/>
  <c r="P2" i="9"/>
  <c r="Q2" i="9"/>
  <c r="R2" i="9"/>
  <c r="S2" i="9"/>
  <c r="T2" i="9"/>
  <c r="W2" i="9"/>
  <c r="X2" i="9"/>
  <c r="Y2" i="9"/>
  <c r="Z2" i="9"/>
  <c r="AA2" i="9"/>
  <c r="A3" i="9"/>
  <c r="H3" i="9"/>
  <c r="K3" i="9" s="1"/>
  <c r="J3" i="9"/>
  <c r="L3" i="9"/>
  <c r="O3" i="9"/>
  <c r="S3" i="9"/>
  <c r="V3" i="9"/>
  <c r="Y3" i="9" s="1"/>
  <c r="X3" i="9"/>
  <c r="Z3" i="9"/>
  <c r="H4" i="9"/>
  <c r="I4" i="9" s="1"/>
  <c r="J4" i="9"/>
  <c r="K4" i="9"/>
  <c r="L4" i="9"/>
  <c r="O4" i="9"/>
  <c r="V4" i="9"/>
  <c r="W4" i="9" s="1"/>
  <c r="X4" i="9"/>
  <c r="Y4" i="9"/>
  <c r="Z4" i="9"/>
  <c r="H5" i="9"/>
  <c r="I5" i="9" s="1"/>
  <c r="J5" i="9"/>
  <c r="K5" i="9"/>
  <c r="L5" i="9"/>
  <c r="O5" i="9"/>
  <c r="V5" i="9"/>
  <c r="W5" i="9" s="1"/>
  <c r="X5" i="9"/>
  <c r="Y5" i="9"/>
  <c r="Z5" i="9"/>
  <c r="B13" i="8"/>
  <c r="C13" i="8"/>
  <c r="D13" i="8"/>
  <c r="E13" i="8"/>
  <c r="F13" i="8"/>
  <c r="H13" i="8"/>
  <c r="I13" i="8"/>
  <c r="J13" i="8"/>
  <c r="K13" i="8"/>
  <c r="L13" i="8"/>
  <c r="O13" i="8"/>
  <c r="P13" i="8"/>
  <c r="Q13" i="8"/>
  <c r="R13" i="8"/>
  <c r="S13" i="8"/>
  <c r="V13" i="8"/>
  <c r="W13" i="8"/>
  <c r="X13" i="8"/>
  <c r="Y13" i="8"/>
  <c r="Z13" i="8"/>
  <c r="A14" i="8"/>
  <c r="G14" i="8"/>
  <c r="J14" i="8"/>
  <c r="H14" i="8"/>
  <c r="I14" i="8"/>
  <c r="K14" i="8"/>
  <c r="L14" i="8"/>
  <c r="N14" i="8"/>
  <c r="O14" i="8" s="1"/>
  <c r="U14" i="8"/>
  <c r="G15" i="8"/>
  <c r="L15" i="8" s="1"/>
  <c r="J15" i="8"/>
  <c r="H15" i="8"/>
  <c r="D16" i="6"/>
  <c r="H43" i="6"/>
  <c r="H53" i="6"/>
  <c r="M2" i="4"/>
  <c r="C7" i="4"/>
  <c r="E7" i="4" s="1"/>
  <c r="F7" i="4"/>
  <c r="L7" i="4"/>
  <c r="N7" i="4" s="1"/>
  <c r="P7" i="4"/>
  <c r="X7" i="4"/>
  <c r="AA7" i="4" s="1"/>
  <c r="AB7" i="4" s="1"/>
  <c r="Z7" i="4"/>
  <c r="A8" i="4"/>
  <c r="F8" i="4"/>
  <c r="K8" i="4"/>
  <c r="P8" i="4"/>
  <c r="U8" i="4"/>
  <c r="V8" i="4"/>
  <c r="X8" i="4" s="1"/>
  <c r="Z8" i="4"/>
  <c r="A9" i="4"/>
  <c r="F9" i="4"/>
  <c r="K9" i="4"/>
  <c r="P9" i="4"/>
  <c r="U9" i="4"/>
  <c r="Z9" i="4"/>
  <c r="A10" i="4"/>
  <c r="F10" i="4"/>
  <c r="K10" i="4"/>
  <c r="K11" i="4" s="1"/>
  <c r="K12" i="4" s="1"/>
  <c r="K13" i="4" s="1"/>
  <c r="K14" i="4" s="1"/>
  <c r="K15" i="4" s="1"/>
  <c r="P10" i="4"/>
  <c r="U10" i="4"/>
  <c r="Z10" i="4"/>
  <c r="A11" i="4"/>
  <c r="A12" i="4" s="1"/>
  <c r="A13" i="4" s="1"/>
  <c r="A14" i="4" s="1"/>
  <c r="A15" i="4" s="1"/>
  <c r="F11" i="4"/>
  <c r="P11" i="4"/>
  <c r="U11" i="4"/>
  <c r="U12" i="4" s="1"/>
  <c r="U13" i="4" s="1"/>
  <c r="U14" i="4" s="1"/>
  <c r="U15" i="4" s="1"/>
  <c r="Z11" i="4"/>
  <c r="F12" i="4"/>
  <c r="P12" i="4"/>
  <c r="Z12" i="4"/>
  <c r="F13" i="4"/>
  <c r="P13" i="4"/>
  <c r="Z13" i="4"/>
  <c r="F14" i="4"/>
  <c r="P14" i="4"/>
  <c r="Z14" i="4"/>
  <c r="F15" i="4"/>
  <c r="P15" i="4"/>
  <c r="D25" i="6" s="1"/>
  <c r="Z15" i="4"/>
  <c r="D49" i="4"/>
  <c r="E49" i="4"/>
  <c r="N49" i="4"/>
  <c r="O49" i="4"/>
  <c r="X49" i="4"/>
  <c r="Y49" i="4"/>
  <c r="D50" i="4"/>
  <c r="B7" i="4" s="1"/>
  <c r="D7" i="4" s="1"/>
  <c r="E50" i="4"/>
  <c r="N50" i="4"/>
  <c r="O50" i="4"/>
  <c r="M7" i="4" s="1"/>
  <c r="O7" i="4" s="1"/>
  <c r="X50" i="4"/>
  <c r="V7" i="4" s="1"/>
  <c r="Y50" i="4"/>
  <c r="W7" i="4" s="1"/>
  <c r="Y7" i="4" s="1"/>
  <c r="C51" i="4"/>
  <c r="D51" i="4"/>
  <c r="B8" i="4" s="1"/>
  <c r="D8" i="4" s="1"/>
  <c r="G8" i="4" s="1"/>
  <c r="H8" i="4" s="1"/>
  <c r="E51" i="4"/>
  <c r="C8" i="4" s="1"/>
  <c r="E8" i="4" s="1"/>
  <c r="M51" i="4"/>
  <c r="N51" i="4" s="1"/>
  <c r="L8" i="4" s="1"/>
  <c r="N8" i="4" s="1"/>
  <c r="O51" i="4"/>
  <c r="M8" i="4" s="1"/>
  <c r="O8" i="4" s="1"/>
  <c r="W51" i="4"/>
  <c r="X51" i="4" s="1"/>
  <c r="C52" i="4"/>
  <c r="L2" i="3"/>
  <c r="C7" i="3"/>
  <c r="E7" i="3" s="1"/>
  <c r="F7" i="3"/>
  <c r="G7" i="3"/>
  <c r="H7" i="3" s="1"/>
  <c r="O7" i="3"/>
  <c r="X7" i="3"/>
  <c r="A8" i="3"/>
  <c r="F8" i="3"/>
  <c r="J8" i="3"/>
  <c r="J9" i="3" s="1"/>
  <c r="J10" i="3" s="1"/>
  <c r="J11" i="3" s="1"/>
  <c r="J12" i="3" s="1"/>
  <c r="J13" i="3" s="1"/>
  <c r="J14" i="3" s="1"/>
  <c r="J15" i="3" s="1"/>
  <c r="O8" i="3"/>
  <c r="S8" i="3"/>
  <c r="X8" i="3"/>
  <c r="A9" i="3"/>
  <c r="A10" i="3" s="1"/>
  <c r="A11" i="3" s="1"/>
  <c r="A12" i="3" s="1"/>
  <c r="A13" i="3" s="1"/>
  <c r="A14" i="3" s="1"/>
  <c r="A15" i="3" s="1"/>
  <c r="F9" i="3"/>
  <c r="O9" i="3"/>
  <c r="S9" i="3"/>
  <c r="S10" i="3" s="1"/>
  <c r="S11" i="3" s="1"/>
  <c r="S12" i="3" s="1"/>
  <c r="S13" i="3" s="1"/>
  <c r="S14" i="3" s="1"/>
  <c r="S15" i="3" s="1"/>
  <c r="X9" i="3"/>
  <c r="F10" i="3"/>
  <c r="O10" i="3"/>
  <c r="X10" i="3"/>
  <c r="F11" i="3"/>
  <c r="O11" i="3"/>
  <c r="X11" i="3"/>
  <c r="F12" i="3"/>
  <c r="O12" i="3"/>
  <c r="X12" i="3"/>
  <c r="F13" i="3"/>
  <c r="O13" i="3"/>
  <c r="X13" i="3"/>
  <c r="F14" i="3"/>
  <c r="O14" i="3"/>
  <c r="X14" i="3"/>
  <c r="F15" i="3"/>
  <c r="O15" i="3"/>
  <c r="X15" i="3"/>
  <c r="D48" i="3"/>
  <c r="E48" i="3"/>
  <c r="M48" i="3"/>
  <c r="N48" i="3"/>
  <c r="V48" i="3"/>
  <c r="W48" i="3"/>
  <c r="D49" i="3"/>
  <c r="B7" i="3" s="1"/>
  <c r="D7" i="3" s="1"/>
  <c r="E49" i="3"/>
  <c r="M49" i="3"/>
  <c r="K7" i="3" s="1"/>
  <c r="M7" i="3" s="1"/>
  <c r="N49" i="3"/>
  <c r="L7" i="3" s="1"/>
  <c r="N7" i="3" s="1"/>
  <c r="V49" i="3"/>
  <c r="T7" i="3" s="1"/>
  <c r="V7" i="3" s="1"/>
  <c r="W49" i="3"/>
  <c r="U7" i="3" s="1"/>
  <c r="W7" i="3" s="1"/>
  <c r="C50" i="3"/>
  <c r="D50" i="3"/>
  <c r="B8" i="3" s="1"/>
  <c r="D8" i="3" s="1"/>
  <c r="E50" i="3"/>
  <c r="C8" i="3" s="1"/>
  <c r="E8" i="3" s="1"/>
  <c r="L50" i="3"/>
  <c r="M50" i="3" s="1"/>
  <c r="K8" i="3" s="1"/>
  <c r="M8" i="3" s="1"/>
  <c r="P8" i="3" s="1"/>
  <c r="Q8" i="3" s="1"/>
  <c r="N50" i="3"/>
  <c r="L8" i="3" s="1"/>
  <c r="N8" i="3" s="1"/>
  <c r="U50" i="3"/>
  <c r="C51" i="3"/>
  <c r="E51" i="3" s="1"/>
  <c r="C9" i="3" s="1"/>
  <c r="E9" i="3" s="1"/>
  <c r="D51" i="3"/>
  <c r="B9" i="3" s="1"/>
  <c r="D9" i="3" s="1"/>
  <c r="G9" i="3" s="1"/>
  <c r="H9" i="3" s="1"/>
  <c r="C52" i="3"/>
  <c r="E3" i="1"/>
  <c r="J3" i="1"/>
  <c r="O3" i="1"/>
  <c r="E4" i="1"/>
  <c r="E8" i="1" s="1"/>
  <c r="J4" i="1"/>
  <c r="O4" i="1"/>
  <c r="E5" i="1"/>
  <c r="J5" i="1"/>
  <c r="O5" i="1"/>
  <c r="E6" i="1"/>
  <c r="J6" i="1"/>
  <c r="O6" i="1"/>
  <c r="J7" i="1"/>
  <c r="J8" i="1"/>
  <c r="D22" i="6" s="1"/>
  <c r="H37" i="6" s="1"/>
  <c r="D50" i="1"/>
  <c r="E50" i="1"/>
  <c r="J50" i="1"/>
  <c r="K50" i="1" s="1"/>
  <c r="D51" i="1"/>
  <c r="E51" i="1"/>
  <c r="I51" i="1"/>
  <c r="J51" i="1"/>
  <c r="K51" i="1" s="1"/>
  <c r="D52" i="1"/>
  <c r="E52" i="1"/>
  <c r="I52" i="1"/>
  <c r="J52" i="1"/>
  <c r="K52" i="1"/>
  <c r="D53" i="1"/>
  <c r="E53" i="1"/>
  <c r="I53" i="1"/>
  <c r="J53" i="1"/>
  <c r="K53" i="1" s="1"/>
  <c r="D54" i="1"/>
  <c r="E54" i="1"/>
  <c r="I54" i="1"/>
  <c r="J54" i="1"/>
  <c r="D55" i="1"/>
  <c r="E55" i="1"/>
  <c r="I55" i="1"/>
  <c r="J55" i="1"/>
  <c r="D56" i="1"/>
  <c r="E56" i="1"/>
  <c r="I56" i="1"/>
  <c r="J56" i="1"/>
  <c r="K56" i="1"/>
  <c r="D57" i="1"/>
  <c r="E57" i="1"/>
  <c r="I57" i="1"/>
  <c r="J57" i="1"/>
  <c r="K57" i="1"/>
  <c r="D58" i="1"/>
  <c r="E58" i="1"/>
  <c r="I58" i="1"/>
  <c r="J58" i="1"/>
  <c r="K58" i="1" s="1"/>
  <c r="E3" i="2"/>
  <c r="J3" i="2"/>
  <c r="O3" i="2"/>
  <c r="O8" i="2" s="1"/>
  <c r="E4" i="2"/>
  <c r="J4" i="2"/>
  <c r="O4" i="2"/>
  <c r="E5" i="2"/>
  <c r="E8" i="2" s="1"/>
  <c r="J5" i="2"/>
  <c r="O5" i="2"/>
  <c r="E6" i="2"/>
  <c r="J6" i="2"/>
  <c r="O6" i="2"/>
  <c r="O7" i="2"/>
  <c r="J8" i="2"/>
  <c r="Y14" i="8"/>
  <c r="U15" i="8"/>
  <c r="K15" i="8"/>
  <c r="W14" i="8"/>
  <c r="G16" i="8"/>
  <c r="I15" i="8"/>
  <c r="A15" i="8"/>
  <c r="V14" i="8"/>
  <c r="D15" i="8"/>
  <c r="Q14" i="8"/>
  <c r="D14" i="8"/>
  <c r="C15" i="8"/>
  <c r="P14" i="8"/>
  <c r="C14" i="8"/>
  <c r="F15" i="8"/>
  <c r="S14" i="8"/>
  <c r="F14" i="8"/>
  <c r="H16" i="8"/>
  <c r="Z15" i="8"/>
  <c r="V15" i="8"/>
  <c r="B15" i="8"/>
  <c r="E15" i="8"/>
  <c r="A16" i="8"/>
  <c r="B16" i="8"/>
  <c r="E16" i="8"/>
  <c r="D16" i="8"/>
  <c r="F16" i="8"/>
  <c r="C16" i="8"/>
  <c r="I16" i="8" l="1"/>
  <c r="J16" i="8"/>
  <c r="K16" i="8"/>
  <c r="D52" i="3"/>
  <c r="B10" i="3" s="1"/>
  <c r="D10" i="3" s="1"/>
  <c r="C53" i="3"/>
  <c r="E52" i="3"/>
  <c r="C10" i="3" s="1"/>
  <c r="E10" i="3" s="1"/>
  <c r="B3" i="10"/>
  <c r="F3" i="10"/>
  <c r="C3" i="10"/>
  <c r="D3" i="10"/>
  <c r="E3" i="10"/>
  <c r="A4" i="10"/>
  <c r="L16" i="8"/>
  <c r="Y7" i="3"/>
  <c r="Z7" i="3" s="1"/>
  <c r="V50" i="3"/>
  <c r="T8" i="3" s="1"/>
  <c r="V8" i="3" s="1"/>
  <c r="Y8" i="3" s="1"/>
  <c r="Z8" i="3" s="1"/>
  <c r="U51" i="3"/>
  <c r="W50" i="3"/>
  <c r="U8" i="3" s="1"/>
  <c r="W8" i="3" s="1"/>
  <c r="G8" i="3"/>
  <c r="H8" i="3" s="1"/>
  <c r="O8" i="1"/>
  <c r="X15" i="8"/>
  <c r="W15" i="8"/>
  <c r="Y15" i="8"/>
  <c r="U16" i="8"/>
  <c r="K55" i="1"/>
  <c r="K54" i="1"/>
  <c r="P7" i="3"/>
  <c r="Q7" i="3" s="1"/>
  <c r="L51" i="3"/>
  <c r="Q8" i="4"/>
  <c r="R8" i="4" s="1"/>
  <c r="P5" i="9"/>
  <c r="T5" i="9"/>
  <c r="Q5" i="9"/>
  <c r="R5" i="9"/>
  <c r="S5" i="9"/>
  <c r="B3" i="9"/>
  <c r="F3" i="9"/>
  <c r="C3" i="9"/>
  <c r="D3" i="9"/>
  <c r="E3" i="9"/>
  <c r="A4" i="9"/>
  <c r="P4" i="9"/>
  <c r="T4" i="9"/>
  <c r="Q4" i="9"/>
  <c r="R4" i="9"/>
  <c r="S4" i="9"/>
  <c r="D52" i="4"/>
  <c r="B9" i="4" s="1"/>
  <c r="D9" i="4" s="1"/>
  <c r="G9" i="4" s="1"/>
  <c r="H9" i="4" s="1"/>
  <c r="C53" i="4"/>
  <c r="E52" i="4"/>
  <c r="C9" i="4" s="1"/>
  <c r="E9" i="4" s="1"/>
  <c r="G7" i="4"/>
  <c r="H7" i="4" s="1"/>
  <c r="X14" i="8"/>
  <c r="Z14" i="8"/>
  <c r="B14" i="8"/>
  <c r="E14" i="8"/>
  <c r="P3" i="10"/>
  <c r="T3" i="10"/>
  <c r="Q3" i="10"/>
  <c r="R3" i="10"/>
  <c r="Q7" i="4"/>
  <c r="R7" i="4" s="1"/>
  <c r="P3" i="9"/>
  <c r="T3" i="9"/>
  <c r="Q3" i="9"/>
  <c r="R3" i="9"/>
  <c r="O4" i="10"/>
  <c r="M52" i="4"/>
  <c r="Y51" i="4"/>
  <c r="W8" i="4" s="1"/>
  <c r="Y8" i="4" s="1"/>
  <c r="AA8" i="4" s="1"/>
  <c r="AB8" i="4" s="1"/>
  <c r="N15" i="8"/>
  <c r="R14" i="8"/>
  <c r="AA5" i="9"/>
  <c r="M5" i="9"/>
  <c r="AA4" i="9"/>
  <c r="M4" i="9"/>
  <c r="AA3" i="9"/>
  <c r="W3" i="9"/>
  <c r="M3" i="9"/>
  <c r="I3" i="9"/>
  <c r="AA5" i="10"/>
  <c r="W5" i="10"/>
  <c r="M5" i="10"/>
  <c r="I5" i="10"/>
  <c r="AA4" i="10"/>
  <c r="W4" i="10"/>
  <c r="M4" i="10"/>
  <c r="I4" i="10"/>
  <c r="W3" i="10"/>
  <c r="I3" i="10"/>
  <c r="W52" i="4"/>
  <c r="M51" i="3" l="1"/>
  <c r="K9" i="3" s="1"/>
  <c r="M9" i="3" s="1"/>
  <c r="P9" i="3" s="1"/>
  <c r="Q9" i="3" s="1"/>
  <c r="L52" i="3"/>
  <c r="N51" i="3"/>
  <c r="L9" i="3" s="1"/>
  <c r="N9" i="3" s="1"/>
  <c r="V16" i="8"/>
  <c r="W16" i="8"/>
  <c r="Z16" i="8"/>
  <c r="X16" i="8"/>
  <c r="Y16" i="8"/>
  <c r="O15" i="8"/>
  <c r="Q15" i="8"/>
  <c r="P15" i="8"/>
  <c r="S15" i="8"/>
  <c r="R15" i="8"/>
  <c r="N16" i="8"/>
  <c r="D53" i="3"/>
  <c r="B11" i="3" s="1"/>
  <c r="D11" i="3" s="1"/>
  <c r="G11" i="3" s="1"/>
  <c r="H11" i="3" s="1"/>
  <c r="C54" i="3"/>
  <c r="E53" i="3"/>
  <c r="C11" i="3" s="1"/>
  <c r="E11" i="3" s="1"/>
  <c r="P4" i="10"/>
  <c r="T4" i="10"/>
  <c r="Q4" i="10"/>
  <c r="R4" i="10"/>
  <c r="S4" i="10"/>
  <c r="O5" i="10"/>
  <c r="D53" i="4"/>
  <c r="B10" i="4" s="1"/>
  <c r="D10" i="4" s="1"/>
  <c r="C54" i="4"/>
  <c r="E53" i="4"/>
  <c r="C10" i="4" s="1"/>
  <c r="E10" i="4" s="1"/>
  <c r="X52" i="4"/>
  <c r="V9" i="4" s="1"/>
  <c r="X9" i="4" s="1"/>
  <c r="AA9" i="4" s="1"/>
  <c r="AB9" i="4" s="1"/>
  <c r="W53" i="4"/>
  <c r="Y52" i="4"/>
  <c r="W9" i="4" s="1"/>
  <c r="Y9" i="4" s="1"/>
  <c r="O52" i="4"/>
  <c r="M9" i="4" s="1"/>
  <c r="O9" i="4" s="1"/>
  <c r="M53" i="4"/>
  <c r="N52" i="4"/>
  <c r="L9" i="4" s="1"/>
  <c r="N9" i="4" s="1"/>
  <c r="B4" i="9"/>
  <c r="F4" i="9"/>
  <c r="C4" i="9"/>
  <c r="D4" i="9"/>
  <c r="A5" i="9"/>
  <c r="E4" i="9"/>
  <c r="V51" i="3"/>
  <c r="T9" i="3" s="1"/>
  <c r="V9" i="3" s="1"/>
  <c r="U52" i="3"/>
  <c r="W51" i="3"/>
  <c r="U9" i="3" s="1"/>
  <c r="W9" i="3" s="1"/>
  <c r="B4" i="10"/>
  <c r="F4" i="10"/>
  <c r="C4" i="10"/>
  <c r="D4" i="10"/>
  <c r="E4" i="10"/>
  <c r="A5" i="10"/>
  <c r="G10" i="3"/>
  <c r="H10" i="3" s="1"/>
  <c r="Q9" i="4" l="1"/>
  <c r="R9" i="4" s="1"/>
  <c r="D54" i="4"/>
  <c r="B11" i="4" s="1"/>
  <c r="D11" i="4" s="1"/>
  <c r="G11" i="4" s="1"/>
  <c r="H11" i="4" s="1"/>
  <c r="C55" i="4"/>
  <c r="E54" i="4"/>
  <c r="C11" i="4" s="1"/>
  <c r="E11" i="4" s="1"/>
  <c r="P5" i="10"/>
  <c r="T5" i="10"/>
  <c r="Q5" i="10"/>
  <c r="R5" i="10"/>
  <c r="S5" i="10"/>
  <c r="S16" i="8"/>
  <c r="Q16" i="8"/>
  <c r="O16" i="8"/>
  <c r="P16" i="8"/>
  <c r="R16" i="8"/>
  <c r="N52" i="3"/>
  <c r="L10" i="3" s="1"/>
  <c r="N10" i="3" s="1"/>
  <c r="M52" i="3"/>
  <c r="K10" i="3" s="1"/>
  <c r="M10" i="3" s="1"/>
  <c r="L53" i="3"/>
  <c r="B5" i="9"/>
  <c r="F5" i="9"/>
  <c r="C5" i="9"/>
  <c r="D5" i="9"/>
  <c r="E5" i="9"/>
  <c r="V52" i="3"/>
  <c r="T10" i="3" s="1"/>
  <c r="V10" i="3" s="1"/>
  <c r="U53" i="3"/>
  <c r="W52" i="3"/>
  <c r="U10" i="3" s="1"/>
  <c r="W10" i="3" s="1"/>
  <c r="B5" i="10"/>
  <c r="F5" i="10"/>
  <c r="C5" i="10"/>
  <c r="D5" i="10"/>
  <c r="E5" i="10"/>
  <c r="Y9" i="3"/>
  <c r="Z9" i="3" s="1"/>
  <c r="N53" i="4"/>
  <c r="L10" i="4" s="1"/>
  <c r="N10" i="4" s="1"/>
  <c r="O53" i="4"/>
  <c r="M10" i="4" s="1"/>
  <c r="O10" i="4" s="1"/>
  <c r="M54" i="4"/>
  <c r="X53" i="4"/>
  <c r="V10" i="4" s="1"/>
  <c r="X10" i="4" s="1"/>
  <c r="W54" i="4"/>
  <c r="Y53" i="4"/>
  <c r="W10" i="4" s="1"/>
  <c r="Y10" i="4" s="1"/>
  <c r="G10" i="4"/>
  <c r="H10" i="4" s="1"/>
  <c r="D54" i="3"/>
  <c r="B12" i="3" s="1"/>
  <c r="D12" i="3" s="1"/>
  <c r="C55" i="3"/>
  <c r="E54" i="3"/>
  <c r="C12" i="3" s="1"/>
  <c r="E12" i="3" s="1"/>
  <c r="N54" i="4" l="1"/>
  <c r="L11" i="4" s="1"/>
  <c r="N11" i="4" s="1"/>
  <c r="M55" i="4"/>
  <c r="O54" i="4"/>
  <c r="M11" i="4" s="1"/>
  <c r="O11" i="4" s="1"/>
  <c r="M53" i="3"/>
  <c r="K11" i="3" s="1"/>
  <c r="M11" i="3" s="1"/>
  <c r="P11" i="3" s="1"/>
  <c r="Q11" i="3" s="1"/>
  <c r="L54" i="3"/>
  <c r="N53" i="3"/>
  <c r="L11" i="3" s="1"/>
  <c r="N11" i="3" s="1"/>
  <c r="E55" i="3"/>
  <c r="C13" i="3" s="1"/>
  <c r="E13" i="3" s="1"/>
  <c r="D55" i="3"/>
  <c r="B13" i="3" s="1"/>
  <c r="D13" i="3" s="1"/>
  <c r="C56" i="3"/>
  <c r="Y54" i="4"/>
  <c r="W11" i="4" s="1"/>
  <c r="Y11" i="4" s="1"/>
  <c r="W55" i="4"/>
  <c r="X54" i="4"/>
  <c r="V11" i="4" s="1"/>
  <c r="X11" i="4" s="1"/>
  <c r="Q10" i="4"/>
  <c r="R10" i="4" s="1"/>
  <c r="W53" i="3"/>
  <c r="U11" i="3" s="1"/>
  <c r="W11" i="3" s="1"/>
  <c r="V53" i="3"/>
  <c r="T11" i="3" s="1"/>
  <c r="V11" i="3" s="1"/>
  <c r="Y11" i="3" s="1"/>
  <c r="Z11" i="3" s="1"/>
  <c r="U54" i="3"/>
  <c r="P10" i="3"/>
  <c r="Q10" i="3" s="1"/>
  <c r="G12" i="3"/>
  <c r="H12" i="3" s="1"/>
  <c r="AA10" i="4"/>
  <c r="AB10" i="4" s="1"/>
  <c r="Y10" i="3"/>
  <c r="Z10" i="3" s="1"/>
  <c r="E55" i="4"/>
  <c r="C12" i="4" s="1"/>
  <c r="E12" i="4" s="1"/>
  <c r="C56" i="4"/>
  <c r="D55" i="4"/>
  <c r="B12" i="4" s="1"/>
  <c r="D12" i="4" s="1"/>
  <c r="X55" i="4" l="1"/>
  <c r="V12" i="4" s="1"/>
  <c r="X12" i="4" s="1"/>
  <c r="AA12" i="4" s="1"/>
  <c r="AB12" i="4" s="1"/>
  <c r="W56" i="4"/>
  <c r="Y55" i="4"/>
  <c r="W12" i="4" s="1"/>
  <c r="Y12" i="4" s="1"/>
  <c r="G12" i="4"/>
  <c r="H12" i="4" s="1"/>
  <c r="D56" i="3"/>
  <c r="B14" i="3" s="1"/>
  <c r="D14" i="3" s="1"/>
  <c r="G14" i="3" s="1"/>
  <c r="H14" i="3" s="1"/>
  <c r="C57" i="3"/>
  <c r="E56" i="3"/>
  <c r="C14" i="3" s="1"/>
  <c r="E14" i="3" s="1"/>
  <c r="N55" i="4"/>
  <c r="L12" i="4" s="1"/>
  <c r="N12" i="4" s="1"/>
  <c r="Q12" i="4" s="1"/>
  <c r="R12" i="4" s="1"/>
  <c r="M56" i="4"/>
  <c r="O55" i="4"/>
  <c r="M12" i="4" s="1"/>
  <c r="O12" i="4" s="1"/>
  <c r="E56" i="4"/>
  <c r="C13" i="4" s="1"/>
  <c r="E13" i="4" s="1"/>
  <c r="D56" i="4"/>
  <c r="B13" i="4" s="1"/>
  <c r="D13" i="4" s="1"/>
  <c r="G13" i="4" s="1"/>
  <c r="H13" i="4" s="1"/>
  <c r="C57" i="4"/>
  <c r="V54" i="3"/>
  <c r="T12" i="3" s="1"/>
  <c r="V12" i="3" s="1"/>
  <c r="U55" i="3"/>
  <c r="W54" i="3"/>
  <c r="U12" i="3" s="1"/>
  <c r="W12" i="3" s="1"/>
  <c r="AA11" i="4"/>
  <c r="AB11" i="4" s="1"/>
  <c r="G13" i="3"/>
  <c r="H13" i="3" s="1"/>
  <c r="M54" i="3"/>
  <c r="K12" i="3" s="1"/>
  <c r="M12" i="3" s="1"/>
  <c r="P12" i="3" s="1"/>
  <c r="Q12" i="3" s="1"/>
  <c r="L55" i="3"/>
  <c r="N54" i="3"/>
  <c r="L12" i="3" s="1"/>
  <c r="N12" i="3" s="1"/>
  <c r="Q11" i="4"/>
  <c r="R11" i="4" s="1"/>
  <c r="D57" i="3" l="1"/>
  <c r="B15" i="3" s="1"/>
  <c r="D15" i="3" s="1"/>
  <c r="C58" i="3"/>
  <c r="E57" i="3"/>
  <c r="C15" i="3" s="1"/>
  <c r="E15" i="3" s="1"/>
  <c r="M55" i="3"/>
  <c r="K13" i="3" s="1"/>
  <c r="M13" i="3" s="1"/>
  <c r="L56" i="3"/>
  <c r="N55" i="3"/>
  <c r="L13" i="3" s="1"/>
  <c r="N13" i="3" s="1"/>
  <c r="E57" i="4"/>
  <c r="C14" i="4" s="1"/>
  <c r="E14" i="4" s="1"/>
  <c r="C58" i="4"/>
  <c r="D57" i="4"/>
  <c r="B14" i="4" s="1"/>
  <c r="D14" i="4" s="1"/>
  <c r="N56" i="4"/>
  <c r="L13" i="4" s="1"/>
  <c r="N13" i="4" s="1"/>
  <c r="Q13" i="4" s="1"/>
  <c r="R13" i="4" s="1"/>
  <c r="M57" i="4"/>
  <c r="O56" i="4"/>
  <c r="M13" i="4" s="1"/>
  <c r="O13" i="4" s="1"/>
  <c r="X56" i="4"/>
  <c r="V13" i="4" s="1"/>
  <c r="X13" i="4" s="1"/>
  <c r="W57" i="4"/>
  <c r="Y56" i="4"/>
  <c r="W13" i="4" s="1"/>
  <c r="Y13" i="4" s="1"/>
  <c r="V55" i="3"/>
  <c r="T13" i="3" s="1"/>
  <c r="V13" i="3" s="1"/>
  <c r="U56" i="3"/>
  <c r="W55" i="3"/>
  <c r="U13" i="3" s="1"/>
  <c r="W13" i="3" s="1"/>
  <c r="Y12" i="3"/>
  <c r="Z12" i="3" s="1"/>
  <c r="O57" i="4" l="1"/>
  <c r="M14" i="4" s="1"/>
  <c r="O14" i="4" s="1"/>
  <c r="N57" i="4"/>
  <c r="L14" i="4" s="1"/>
  <c r="N14" i="4" s="1"/>
  <c r="Q14" i="4" s="1"/>
  <c r="R14" i="4" s="1"/>
  <c r="M58" i="4"/>
  <c r="X57" i="4"/>
  <c r="V14" i="4" s="1"/>
  <c r="X14" i="4" s="1"/>
  <c r="W58" i="4"/>
  <c r="Y57" i="4"/>
  <c r="W14" i="4" s="1"/>
  <c r="Y14" i="4" s="1"/>
  <c r="D58" i="3"/>
  <c r="C59" i="3"/>
  <c r="E58" i="3"/>
  <c r="V56" i="3"/>
  <c r="T14" i="3" s="1"/>
  <c r="V14" i="3" s="1"/>
  <c r="Y14" i="3" s="1"/>
  <c r="Z14" i="3" s="1"/>
  <c r="U57" i="3"/>
  <c r="W56" i="3"/>
  <c r="U14" i="3" s="1"/>
  <c r="W14" i="3" s="1"/>
  <c r="AA13" i="4"/>
  <c r="AB13" i="4" s="1"/>
  <c r="G14" i="4"/>
  <c r="H14" i="4" s="1"/>
  <c r="N56" i="3"/>
  <c r="L14" i="3" s="1"/>
  <c r="N14" i="3" s="1"/>
  <c r="M56" i="3"/>
  <c r="K14" i="3" s="1"/>
  <c r="M14" i="3" s="1"/>
  <c r="P14" i="3" s="1"/>
  <c r="Q14" i="3" s="1"/>
  <c r="L57" i="3"/>
  <c r="G15" i="3"/>
  <c r="H15" i="3" s="1"/>
  <c r="H16" i="3" s="1"/>
  <c r="Y13" i="3"/>
  <c r="Z13" i="3" s="1"/>
  <c r="D58" i="4"/>
  <c r="B15" i="4" s="1"/>
  <c r="D15" i="4" s="1"/>
  <c r="C59" i="4"/>
  <c r="E58" i="4"/>
  <c r="C15" i="4" s="1"/>
  <c r="E15" i="4" s="1"/>
  <c r="P13" i="3"/>
  <c r="Q13" i="3" s="1"/>
  <c r="G15" i="4" l="1"/>
  <c r="H15" i="4" s="1"/>
  <c r="H16" i="4" s="1"/>
  <c r="E59" i="3"/>
  <c r="D59" i="3"/>
  <c r="C60" i="3"/>
  <c r="AA14" i="4"/>
  <c r="AB14" i="4" s="1"/>
  <c r="W57" i="3"/>
  <c r="U15" i="3" s="1"/>
  <c r="W15" i="3" s="1"/>
  <c r="V57" i="3"/>
  <c r="T15" i="3" s="1"/>
  <c r="V15" i="3" s="1"/>
  <c r="Y15" i="3" s="1"/>
  <c r="Z15" i="3" s="1"/>
  <c r="Z16" i="3" s="1"/>
  <c r="U58" i="3"/>
  <c r="N58" i="4"/>
  <c r="L15" i="4" s="1"/>
  <c r="N15" i="4" s="1"/>
  <c r="M59" i="4"/>
  <c r="O58" i="4"/>
  <c r="M15" i="4" s="1"/>
  <c r="O15" i="4" s="1"/>
  <c r="D59" i="4"/>
  <c r="C60" i="4"/>
  <c r="E59" i="4"/>
  <c r="M57" i="3"/>
  <c r="K15" i="3" s="1"/>
  <c r="M15" i="3" s="1"/>
  <c r="P15" i="3" s="1"/>
  <c r="Q15" i="3" s="1"/>
  <c r="Q16" i="3" s="1"/>
  <c r="L58" i="3"/>
  <c r="N57" i="3"/>
  <c r="L15" i="3" s="1"/>
  <c r="N15" i="3" s="1"/>
  <c r="Y58" i="4"/>
  <c r="W15" i="4" s="1"/>
  <c r="Y15" i="4" s="1"/>
  <c r="X58" i="4"/>
  <c r="V15" i="4" s="1"/>
  <c r="X15" i="4" s="1"/>
  <c r="AA15" i="4" s="1"/>
  <c r="AB15" i="4" s="1"/>
  <c r="AB16" i="4" s="1"/>
  <c r="W59" i="4"/>
  <c r="X59" i="4" l="1"/>
  <c r="W60" i="4"/>
  <c r="Y59" i="4"/>
  <c r="M58" i="3"/>
  <c r="L59" i="3"/>
  <c r="N58" i="3"/>
  <c r="V58" i="3"/>
  <c r="U59" i="3"/>
  <c r="W58" i="3"/>
  <c r="D60" i="3"/>
  <c r="E60" i="3"/>
  <c r="N59" i="4"/>
  <c r="M60" i="4"/>
  <c r="O59" i="4"/>
  <c r="E60" i="4"/>
  <c r="D60" i="4"/>
  <c r="C61" i="4"/>
  <c r="Q15" i="4"/>
  <c r="R15" i="4" s="1"/>
  <c r="R16" i="4" s="1"/>
  <c r="D23" i="6" s="1"/>
  <c r="H44" i="6" s="1"/>
  <c r="H45" i="6" s="1"/>
  <c r="V59" i="3" l="1"/>
  <c r="U60" i="3"/>
  <c r="W59" i="3"/>
  <c r="H50" i="6"/>
  <c r="H46" i="6"/>
  <c r="X60" i="4"/>
  <c r="W61" i="4"/>
  <c r="Y60" i="4"/>
  <c r="D61" i="4"/>
  <c r="E61" i="4"/>
  <c r="N60" i="4"/>
  <c r="O60" i="4"/>
  <c r="M61" i="4"/>
  <c r="M59" i="3"/>
  <c r="L60" i="3"/>
  <c r="N59" i="3"/>
  <c r="N60" i="3" l="1"/>
  <c r="M60" i="3"/>
  <c r="X61" i="4"/>
  <c r="Y61" i="4"/>
  <c r="V60" i="3"/>
  <c r="W60" i="3"/>
  <c r="O61" i="4"/>
  <c r="N61" i="4"/>
  <c r="H49" i="6"/>
  <c r="F61" i="6"/>
  <c r="F62" i="6" l="1"/>
  <c r="H52" i="6"/>
  <c r="G61" i="6"/>
  <c r="E61" i="6"/>
  <c r="F63" i="6" s="1"/>
  <c r="G63" i="6" l="1"/>
  <c r="G62" i="6"/>
  <c r="H56" i="6"/>
  <c r="H61" i="6" s="1"/>
  <c r="H57" i="6"/>
  <c r="E63" i="6"/>
  <c r="E62" i="6"/>
  <c r="J61" i="6" l="1"/>
  <c r="I61" i="6"/>
  <c r="K61" i="6"/>
  <c r="H62" i="6"/>
  <c r="H63" i="6"/>
  <c r="K62" i="6" l="1"/>
  <c r="K63" i="6"/>
  <c r="I63" i="6"/>
  <c r="I62" i="6"/>
  <c r="J62" i="6"/>
  <c r="J63" i="6"/>
</calcChain>
</file>

<file path=xl/sharedStrings.xml><?xml version="1.0" encoding="utf-8"?>
<sst xmlns="http://schemas.openxmlformats.org/spreadsheetml/2006/main" count="626" uniqueCount="272">
  <si>
    <t>PC Concrete</t>
  </si>
  <si>
    <t>RHA Concrete</t>
  </si>
  <si>
    <t>e</t>
  </si>
  <si>
    <t>Sample B</t>
  </si>
  <si>
    <t>Sample C</t>
  </si>
  <si>
    <t>Sample D</t>
  </si>
  <si>
    <t>Average</t>
  </si>
  <si>
    <t>Portland Cement</t>
  </si>
  <si>
    <t>RHA</t>
  </si>
  <si>
    <t>Slump, mm</t>
  </si>
  <si>
    <t>w/c</t>
  </si>
  <si>
    <t>w/b</t>
  </si>
  <si>
    <t>f</t>
  </si>
  <si>
    <t>Sc</t>
  </si>
  <si>
    <t>Sr</t>
  </si>
  <si>
    <t>Lc</t>
  </si>
  <si>
    <t>Lr</t>
  </si>
  <si>
    <t>Lc-Lr</t>
  </si>
  <si>
    <t>%RHA proportion of Cement</t>
  </si>
  <si>
    <t>SGc</t>
  </si>
  <si>
    <t>SGr</t>
  </si>
  <si>
    <t>*Adjusted R</t>
  </si>
  <si>
    <t xml:space="preserve">Strength, MPa </t>
  </si>
  <si>
    <t>Percentage Replacement of Cement by RHA</t>
  </si>
  <si>
    <t>-</t>
  </si>
  <si>
    <t>w/c ratio</t>
  </si>
  <si>
    <t>Slump</t>
  </si>
  <si>
    <t>Polynomial Extrapolation</t>
  </si>
  <si>
    <t>w/b ratio</t>
  </si>
  <si>
    <t>Percentage Replacement</t>
  </si>
  <si>
    <t>Average f</t>
  </si>
  <si>
    <t>28-day strength (MPa)</t>
  </si>
  <si>
    <t xml:space="preserve">Percentage Replacement </t>
  </si>
  <si>
    <t>Compressive Strength</t>
  </si>
  <si>
    <t xml:space="preserve">y = -3*10^(-3)* + 0.0195x + 0.2264
</t>
  </si>
  <si>
    <t>Stage</t>
  </si>
  <si>
    <t>Item</t>
  </si>
  <si>
    <t xml:space="preserve">Reference </t>
  </si>
  <si>
    <t>Values</t>
  </si>
  <si>
    <t>Characteristic Strength</t>
  </si>
  <si>
    <t>Specified</t>
  </si>
  <si>
    <t>MPa</t>
  </si>
  <si>
    <t>at</t>
  </si>
  <si>
    <t>days</t>
  </si>
  <si>
    <t>Standard Deviation</t>
  </si>
  <si>
    <t>Figure 3</t>
  </si>
  <si>
    <t>Margin</t>
  </si>
  <si>
    <t>or</t>
  </si>
  <si>
    <t>C1 or Specified</t>
  </si>
  <si>
    <t>k</t>
  </si>
  <si>
    <t>M</t>
  </si>
  <si>
    <t>Target Mean Strength</t>
  </si>
  <si>
    <t>C2</t>
  </si>
  <si>
    <t>Cement Strength Class</t>
  </si>
  <si>
    <t>Aggregate type: Coarse</t>
  </si>
  <si>
    <t>Aggregate type: Fine</t>
  </si>
  <si>
    <t>Free-water/cement ratio</t>
  </si>
  <si>
    <t>Table 2, Figure 4</t>
  </si>
  <si>
    <t>Maximum free-water content</t>
  </si>
  <si>
    <t>Table 3</t>
  </si>
  <si>
    <t>Use</t>
  </si>
  <si>
    <t>Defectives</t>
  </si>
  <si>
    <t xml:space="preserve">Target Slump </t>
  </si>
  <si>
    <t>mm</t>
  </si>
  <si>
    <t>Free-water Content</t>
  </si>
  <si>
    <t>kg/m3</t>
  </si>
  <si>
    <r>
      <t>L</t>
    </r>
    <r>
      <rPr>
        <sz val="8"/>
        <color indexed="8"/>
        <rFont val="Times New Roman"/>
        <family val="1"/>
      </rPr>
      <t>R</t>
    </r>
  </si>
  <si>
    <t>C</t>
  </si>
  <si>
    <r>
      <t>L</t>
    </r>
    <r>
      <rPr>
        <sz val="8"/>
        <color indexed="8"/>
        <rFont val="Times New Roman"/>
        <family val="1"/>
      </rPr>
      <t>C</t>
    </r>
  </si>
  <si>
    <r>
      <t>W</t>
    </r>
    <r>
      <rPr>
        <sz val="8"/>
        <color indexed="8"/>
        <rFont val="Times New Roman"/>
        <family val="1"/>
      </rPr>
      <t>C</t>
    </r>
  </si>
  <si>
    <t>Okoya</t>
  </si>
  <si>
    <t>Equivalent RHA Concrete Strength</t>
  </si>
  <si>
    <t>Cement Content</t>
  </si>
  <si>
    <t>C3</t>
  </si>
  <si>
    <t>Maximum Cement Content</t>
  </si>
  <si>
    <t>Minimum Cement Content</t>
  </si>
  <si>
    <t>Modified free-water/cement ratio</t>
  </si>
  <si>
    <t>Concrete Density</t>
  </si>
  <si>
    <t>Total Aggregate Content</t>
  </si>
  <si>
    <r>
      <t>% of fine aggregate passing 600</t>
    </r>
    <r>
      <rPr>
        <sz val="12"/>
        <color indexed="8"/>
        <rFont val="Calibri"/>
        <family val="2"/>
      </rPr>
      <t>μ</t>
    </r>
    <r>
      <rPr>
        <sz val="12"/>
        <color indexed="8"/>
        <rFont val="Times New Roman"/>
        <family val="1"/>
      </rPr>
      <t>m</t>
    </r>
  </si>
  <si>
    <t>Fig. 6</t>
  </si>
  <si>
    <t>%</t>
  </si>
  <si>
    <t>to</t>
  </si>
  <si>
    <t>Fine Aggregate Content</t>
  </si>
  <si>
    <t>Coarse Aggregate Content</t>
  </si>
  <si>
    <t>C5</t>
  </si>
  <si>
    <t>Material Proportions</t>
  </si>
  <si>
    <t>Cement</t>
  </si>
  <si>
    <t>14/20</t>
  </si>
  <si>
    <t>6/10</t>
  </si>
  <si>
    <t>10/14</t>
  </si>
  <si>
    <t>Cement, kg/m3</t>
  </si>
  <si>
    <t>RHA, kg/m3</t>
  </si>
  <si>
    <t>Water, kg/m3</t>
  </si>
  <si>
    <t>Sand, kg/m3</t>
  </si>
  <si>
    <t>Coarse Aggregates, kg/m3</t>
  </si>
  <si>
    <t>m3</t>
  </si>
  <si>
    <t>Actual Concrete Volume</t>
  </si>
  <si>
    <t>Concrete Specifications</t>
  </si>
  <si>
    <t>Concrete Class</t>
  </si>
  <si>
    <t>Slump Class</t>
  </si>
  <si>
    <t>Type</t>
  </si>
  <si>
    <t>Maximum Size</t>
  </si>
  <si>
    <t>Specific Gravity</t>
  </si>
  <si>
    <t>% passing 600μm</t>
  </si>
  <si>
    <t>Mortar Compressive Strength</t>
  </si>
  <si>
    <t>Fineness Modulus</t>
  </si>
  <si>
    <t>Strength Correlation Factor, e</t>
  </si>
  <si>
    <t>Differential Lubrication Constant, f</t>
  </si>
  <si>
    <t>Standard Consistence</t>
  </si>
  <si>
    <t>Equivalent Cement Content</t>
  </si>
  <si>
    <t>Water Absoprtion</t>
  </si>
  <si>
    <t>Coarse Aggregate Properties</t>
  </si>
  <si>
    <t>Fine Aggregate Properties</t>
  </si>
  <si>
    <t>C20/25</t>
  </si>
  <si>
    <t>S1</t>
  </si>
  <si>
    <t>Crushed</t>
  </si>
  <si>
    <t>20mm</t>
  </si>
  <si>
    <t>CEM II,B/L</t>
  </si>
  <si>
    <t>1.10</t>
  </si>
  <si>
    <t>Ratios</t>
  </si>
  <si>
    <t>A; s for less than 20 results</t>
  </si>
  <si>
    <t>B; minimum s for 20 or more 20 results</t>
  </si>
  <si>
    <r>
      <t>f</t>
    </r>
    <r>
      <rPr>
        <b/>
        <vertAlign val="subscript"/>
        <sz val="12"/>
        <color indexed="8"/>
        <rFont val="Times New Roman"/>
        <family val="1"/>
      </rPr>
      <t>c</t>
    </r>
  </si>
  <si>
    <t>Figure 3: Relationship between standard deviation and characteristic strength</t>
  </si>
  <si>
    <t>Type of Coarse Aggregates</t>
  </si>
  <si>
    <t>Compressive Strength (MPa)</t>
  </si>
  <si>
    <t>Uncrushed</t>
  </si>
  <si>
    <t>Age (days)</t>
  </si>
  <si>
    <t>Vebe time (s)</t>
  </si>
  <si>
    <t>Maximum size of Aggregates (mm)</t>
  </si>
  <si>
    <t>0-10</t>
  </si>
  <si>
    <t>30-60</t>
  </si>
  <si>
    <t>60-180</t>
  </si>
  <si>
    <t>0-12</t>
  </si>
  <si>
    <t>10-30</t>
  </si>
  <si>
    <t>6-12</t>
  </si>
  <si>
    <t>3-6</t>
  </si>
  <si>
    <t>0-3</t>
  </si>
  <si>
    <t>Type of Aggregate</t>
  </si>
  <si>
    <t>Table 2: Appoximate compressive strength (MPa) of concrete mixeswith a free-water/cement ratio of 0.5</t>
  </si>
  <si>
    <t>Table 3: Approximate free-water content (kg/m3) required to give various levels of workability</t>
  </si>
  <si>
    <t>Curve 1</t>
  </si>
  <si>
    <t>Curve 2</t>
  </si>
  <si>
    <t>Curve 3</t>
  </si>
  <si>
    <t>Curve 4</t>
  </si>
  <si>
    <t>Curve 5</t>
  </si>
  <si>
    <t>Curve 6</t>
  </si>
  <si>
    <t>Curve 7</t>
  </si>
  <si>
    <t>Curve 8</t>
  </si>
  <si>
    <t>Curve 9</t>
  </si>
  <si>
    <t>Strength</t>
  </si>
  <si>
    <t>Curve 10</t>
  </si>
  <si>
    <t>1.6</t>
  </si>
  <si>
    <t>1.7</t>
  </si>
  <si>
    <t>1.8</t>
  </si>
  <si>
    <t>Compressive Strength at 0.5w/c ratio</t>
  </si>
  <si>
    <t>Maximum Aggregate Size</t>
  </si>
  <si>
    <t>Column1</t>
  </si>
  <si>
    <t>Column2</t>
  </si>
  <si>
    <t>Column3</t>
  </si>
  <si>
    <t>Column4</t>
  </si>
  <si>
    <t>Column5</t>
  </si>
  <si>
    <t>10-30mm</t>
  </si>
  <si>
    <t>% Passing 600um Used</t>
  </si>
  <si>
    <t>Axis Selection</t>
  </si>
  <si>
    <t>Dropdown Option</t>
  </si>
  <si>
    <t>Corresponding Sheet Name</t>
  </si>
  <si>
    <t>10mm</t>
  </si>
  <si>
    <t>Figure 6, 10mm</t>
  </si>
  <si>
    <t>Figure 6, 20mm</t>
  </si>
  <si>
    <t>40mm</t>
  </si>
  <si>
    <t>Figure 6, 40mm</t>
  </si>
  <si>
    <t>S0</t>
  </si>
  <si>
    <t>S2</t>
  </si>
  <si>
    <t>S3</t>
  </si>
  <si>
    <t>Corresponding Graph Name</t>
  </si>
  <si>
    <t>0-10mm</t>
  </si>
  <si>
    <t>30-60mm</t>
  </si>
  <si>
    <t>60-180mm</t>
  </si>
  <si>
    <t>0% Percentage Replacement</t>
  </si>
  <si>
    <t>5% Percentage Replacement</t>
  </si>
  <si>
    <t>10% Percentage Replacement</t>
  </si>
  <si>
    <t>15% Percentage Replacement</t>
  </si>
  <si>
    <t>input the value</t>
  </si>
  <si>
    <t>Compressive Strength (Mpa)</t>
  </si>
  <si>
    <t xml:space="preserve">  </t>
  </si>
  <si>
    <t xml:space="preserve">Free-water content (kg/m3) </t>
  </si>
  <si>
    <t>Table 3 prompts</t>
  </si>
  <si>
    <t>Table 2 prompts</t>
  </si>
  <si>
    <t>Figure 3 prompts</t>
  </si>
  <si>
    <t>Number of results</t>
  </si>
  <si>
    <t>standard deviation</t>
  </si>
  <si>
    <t>Chart 1 prompts</t>
  </si>
  <si>
    <t>Curve</t>
  </si>
  <si>
    <t>Compressive Strength, MPa</t>
  </si>
  <si>
    <t>CEM</t>
  </si>
  <si>
    <t>Sample</t>
  </si>
  <si>
    <t>Proportion of fine aggregate (%)</t>
  </si>
  <si>
    <t xml:space="preserve"> </t>
  </si>
  <si>
    <t>characteristic strength</t>
  </si>
  <si>
    <t>&lt;20</t>
  </si>
  <si>
    <t>15%</t>
  </si>
  <si>
    <t>40%</t>
  </si>
  <si>
    <t>60%</t>
  </si>
  <si>
    <t>80%</t>
  </si>
  <si>
    <t>100%</t>
  </si>
  <si>
    <t>y = 27.783x + 42.773</t>
  </si>
  <si>
    <t>y = 25x + 31.67</t>
  </si>
  <si>
    <t>y = 16.667x + 28.337</t>
  </si>
  <si>
    <t>y = 15.733x + 22.413</t>
  </si>
  <si>
    <t>y = 12.033x + 20.373</t>
  </si>
  <si>
    <t>Formulas</t>
  </si>
  <si>
    <t>y = 27.775x + 44.445</t>
  </si>
  <si>
    <t>y = 26.4x + 33.05</t>
  </si>
  <si>
    <t>y=27.783x+42.773</t>
  </si>
  <si>
    <t>y=16.667x+28.337</t>
  </si>
  <si>
    <t>y=15.733x+22.413</t>
  </si>
  <si>
    <t>y=12.033x+20.773</t>
  </si>
  <si>
    <t>y = 11.1x + 21.67</t>
  </si>
  <si>
    <t>y = 13.875x + 25.005</t>
  </si>
  <si>
    <t>y = 18.05x + 29.17</t>
  </si>
  <si>
    <t>y = 25x + 50</t>
  </si>
  <si>
    <t>y = 21.3x + 37.96</t>
  </si>
  <si>
    <t>y = 13.883x + 33.893</t>
  </si>
  <si>
    <t>y = 13.883x + 27.223</t>
  </si>
  <si>
    <t>y = 13.883x + 22.223</t>
  </si>
  <si>
    <t>y = 27.783x + 55.553</t>
  </si>
  <si>
    <t>y = 23.15x + 43.7</t>
  </si>
  <si>
    <t>y = 16.667x + 36.667</t>
  </si>
  <si>
    <t>y = 13.9x + 30.55</t>
  </si>
  <si>
    <t>y = 12.967x + 25.737</t>
  </si>
  <si>
    <t>y = 27.75x + 28.91</t>
  </si>
  <si>
    <t>y = 19.45x + 24.44</t>
  </si>
  <si>
    <t>y = 11.1x + 14.45</t>
  </si>
  <si>
    <t>y = 16.65x + 20.01</t>
  </si>
  <si>
    <t>y = 13.9x + 16.66</t>
  </si>
  <si>
    <t>y = 27.783x + 31.663</t>
  </si>
  <si>
    <t>y = 21.3x + 25.74</t>
  </si>
  <si>
    <t>y = 16.667x + 16.667</t>
  </si>
  <si>
    <t>y = 12.033x + 15.373</t>
  </si>
  <si>
    <t>y = 16.667x + 21.667</t>
  </si>
  <si>
    <t>y = 22.225x + 27.775</t>
  </si>
  <si>
    <t>y = 16.65x + 24.45</t>
  </si>
  <si>
    <t>y = 12.5x + 17.5</t>
  </si>
  <si>
    <t>y = 13.9x + 20.55</t>
  </si>
  <si>
    <t>y = 27.775x + 42.22</t>
  </si>
  <si>
    <t>y = 22.225x + 33.33</t>
  </si>
  <si>
    <t>y = 15.275x + 18.89</t>
  </si>
  <si>
    <t>y = 19.45x + 26.66</t>
  </si>
  <si>
    <t>y = 16.675x + 22.22</t>
  </si>
  <si>
    <t>y = 26.85x + 22.41</t>
  </si>
  <si>
    <t>y = 25x + 16.11</t>
  </si>
  <si>
    <t>y = 17.583x + 14.263</t>
  </si>
  <si>
    <t>y = 12.967x + 9.627</t>
  </si>
  <si>
    <t>y = 14.817x + 12.037</t>
  </si>
  <si>
    <t>y = 27.783x + 24.443</t>
  </si>
  <si>
    <t>y = 24.083x + 18.513</t>
  </si>
  <si>
    <t>y = 10.183x + 12.963</t>
  </si>
  <si>
    <t>y = 12.95x + 14.08</t>
  </si>
  <si>
    <t>y = 26.4x + 29.16</t>
  </si>
  <si>
    <t>y = 13.85x + 20.56</t>
  </si>
  <si>
    <t>y = 30.55x + 33.89</t>
  </si>
  <si>
    <t>y = 11.1x + 17.78</t>
  </si>
  <si>
    <t>y = 23.625x + 27.495</t>
  </si>
  <si>
    <t>y = 19.45x + 22.22</t>
  </si>
  <si>
    <t>y = 16.675x + 18.885</t>
  </si>
  <si>
    <t>Equation</t>
  </si>
  <si>
    <t>Percentage</t>
  </si>
  <si>
    <t>No row found</t>
  </si>
  <si>
    <t>II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</si>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</sst>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24" x14ac:knownFonts="1">
    <font>
      <sz val="11"/>
      <color theme="1"/>
      <name val="Calibri"/>
      <family val="2"/>
      <scheme val="minor"/>
    </font>
    <font>
      <sz val="12"/>
      <color indexed="8"/>
      <name val="Times New Roman"/>
      <family val="1"/>
    </font>
    <font>
      <sz val="8"/>
      <color indexed="8"/>
      <name val="Times New Roman"/>
      <family val="1"/>
    </font>
    <font>
      <sz val="8"/>
      <name val="Calibri"/>
      <family val="2"/>
    </font>
    <font>
      <sz val="12"/>
      <color indexed="8"/>
      <name val="Calibri"/>
      <family val="2"/>
    </font>
    <font>
      <b/>
      <vertAlign val="subscript"/>
      <sz val="12"/>
      <color indexed="8"/>
      <name val="Times New Roman"/>
      <family val="1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9" tint="-0.249977111117893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1"/>
      <color theme="1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sz val="12"/>
      <color theme="9" tint="-0.249977111117893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9" tint="-0.249977111117893"/>
      <name val="Times New Roman"/>
      <family val="1"/>
    </font>
    <font>
      <sz val="12"/>
      <color rgb="FF333333"/>
      <name val="Segoe UI"/>
      <family val="2"/>
    </font>
    <font>
      <b/>
      <sz val="14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67">
    <xf numFmtId="0" fontId="0" fillId="0" borderId="0" xfId="0"/>
    <xf numFmtId="0" fontId="9" fillId="0" borderId="0" xfId="0" applyFont="1"/>
    <xf numFmtId="0" fontId="9" fillId="0" borderId="1" xfId="0" applyFont="1" applyBorder="1"/>
    <xf numFmtId="164" fontId="9" fillId="0" borderId="1" xfId="0" applyNumberFormat="1" applyFont="1" applyBorder="1"/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justify" vertical="center" wrapText="1"/>
    </xf>
    <xf numFmtId="0" fontId="13" fillId="0" borderId="2" xfId="0" applyFont="1" applyBorder="1" applyAlignment="1">
      <alignment horizontal="justify" vertical="center" wrapText="1"/>
    </xf>
    <xf numFmtId="0" fontId="13" fillId="0" borderId="3" xfId="0" applyFont="1" applyBorder="1" applyAlignment="1">
      <alignment horizontal="justify" vertical="center" wrapText="1"/>
    </xf>
    <xf numFmtId="164" fontId="13" fillId="0" borderId="4" xfId="0" applyNumberFormat="1" applyFont="1" applyBorder="1" applyAlignment="1">
      <alignment horizontal="justify" vertical="center" wrapText="1"/>
    </xf>
    <xf numFmtId="164" fontId="13" fillId="0" borderId="5" xfId="0" applyNumberFormat="1" applyFont="1" applyBorder="1" applyAlignment="1">
      <alignment horizontal="justify" vertical="center" wrapText="1"/>
    </xf>
    <xf numFmtId="164" fontId="13" fillId="0" borderId="5" xfId="0" applyNumberFormat="1" applyFont="1" applyBorder="1" applyAlignment="1">
      <alignment horizontal="center" vertical="center" wrapText="1"/>
    </xf>
    <xf numFmtId="0" fontId="14" fillId="0" borderId="3" xfId="1" applyFont="1" applyBorder="1" applyAlignment="1">
      <alignment horizontal="center" vertical="center" wrapText="1"/>
    </xf>
    <xf numFmtId="0" fontId="12" fillId="0" borderId="6" xfId="0" applyFont="1" applyBorder="1" applyAlignment="1">
      <alignment vertical="center" wrapText="1"/>
    </xf>
    <xf numFmtId="0" fontId="13" fillId="0" borderId="7" xfId="0" applyFont="1" applyBorder="1"/>
    <xf numFmtId="0" fontId="13" fillId="0" borderId="8" xfId="0" applyFont="1" applyBorder="1"/>
    <xf numFmtId="0" fontId="13" fillId="0" borderId="9" xfId="0" applyFont="1" applyBorder="1"/>
    <xf numFmtId="0" fontId="13" fillId="0" borderId="10" xfId="0" applyFont="1" applyBorder="1"/>
    <xf numFmtId="9" fontId="13" fillId="0" borderId="11" xfId="0" applyNumberFormat="1" applyFont="1" applyBorder="1"/>
    <xf numFmtId="2" fontId="13" fillId="0" borderId="8" xfId="0" applyNumberFormat="1" applyFont="1" applyBorder="1"/>
    <xf numFmtId="9" fontId="13" fillId="0" borderId="7" xfId="0" applyNumberFormat="1" applyFont="1" applyBorder="1"/>
    <xf numFmtId="9" fontId="13" fillId="0" borderId="8" xfId="0" applyNumberFormat="1" applyFont="1" applyBorder="1"/>
    <xf numFmtId="0" fontId="12" fillId="0" borderId="12" xfId="0" applyFont="1" applyBorder="1" applyAlignment="1">
      <alignment wrapText="1"/>
    </xf>
    <xf numFmtId="0" fontId="12" fillId="0" borderId="13" xfId="0" applyFont="1" applyBorder="1"/>
    <xf numFmtId="0" fontId="12" fillId="0" borderId="9" xfId="0" applyFont="1" applyBorder="1"/>
    <xf numFmtId="0" fontId="12" fillId="0" borderId="14" xfId="0" applyFont="1" applyBorder="1"/>
    <xf numFmtId="0" fontId="12" fillId="0" borderId="10" xfId="0" applyFont="1" applyBorder="1"/>
    <xf numFmtId="0" fontId="13" fillId="0" borderId="0" xfId="0" applyFont="1" applyBorder="1" applyAlignment="1">
      <alignment horizontal="justify" vertical="center" wrapText="1"/>
    </xf>
    <xf numFmtId="10" fontId="14" fillId="0" borderId="5" xfId="1" applyNumberFormat="1" applyFont="1" applyBorder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9" fontId="16" fillId="0" borderId="3" xfId="0" applyNumberFormat="1" applyFont="1" applyBorder="1" applyAlignment="1">
      <alignment horizontal="justify" vertical="center"/>
    </xf>
    <xf numFmtId="0" fontId="17" fillId="0" borderId="0" xfId="0" applyFont="1" applyAlignment="1">
      <alignment horizontal="justify" vertical="center"/>
    </xf>
    <xf numFmtId="0" fontId="17" fillId="0" borderId="3" xfId="0" applyFont="1" applyBorder="1" applyAlignment="1">
      <alignment horizontal="justify" vertical="center"/>
    </xf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164" fontId="13" fillId="0" borderId="0" xfId="0" applyNumberFormat="1" applyFont="1" applyBorder="1" applyAlignment="1">
      <alignment horizontal="justify" vertical="center" wrapText="1"/>
    </xf>
    <xf numFmtId="0" fontId="16" fillId="0" borderId="3" xfId="0" applyFont="1" applyBorder="1" applyAlignment="1">
      <alignment horizontal="justify" vertical="center"/>
    </xf>
    <xf numFmtId="0" fontId="12" fillId="0" borderId="15" xfId="0" applyFont="1" applyBorder="1" applyAlignment="1">
      <alignment horizontal="center" vertical="center" wrapText="1"/>
    </xf>
    <xf numFmtId="0" fontId="13" fillId="0" borderId="0" xfId="0" applyFont="1" applyAlignment="1">
      <alignment horizontal="justify" vertical="center"/>
    </xf>
    <xf numFmtId="0" fontId="13" fillId="0" borderId="3" xfId="0" applyFont="1" applyBorder="1" applyAlignment="1">
      <alignment horizontal="justify" vertical="center"/>
    </xf>
    <xf numFmtId="164" fontId="13" fillId="0" borderId="3" xfId="0" applyNumberFormat="1" applyFont="1" applyBorder="1" applyAlignment="1">
      <alignment horizontal="justify" vertical="center" wrapText="1"/>
    </xf>
    <xf numFmtId="0" fontId="13" fillId="0" borderId="0" xfId="0" applyFont="1"/>
    <xf numFmtId="0" fontId="13" fillId="0" borderId="16" xfId="0" applyFont="1" applyBorder="1"/>
    <xf numFmtId="0" fontId="13" fillId="0" borderId="17" xfId="0" applyFont="1" applyBorder="1"/>
    <xf numFmtId="0" fontId="13" fillId="0" borderId="18" xfId="0" applyFont="1" applyBorder="1"/>
    <xf numFmtId="0" fontId="13" fillId="0" borderId="12" xfId="0" applyFont="1" applyBorder="1"/>
    <xf numFmtId="0" fontId="13" fillId="0" borderId="11" xfId="0" applyFont="1" applyBorder="1"/>
    <xf numFmtId="0" fontId="13" fillId="0" borderId="19" xfId="0" applyFont="1" applyBorder="1"/>
    <xf numFmtId="0" fontId="13" fillId="0" borderId="20" xfId="0" applyFont="1" applyBorder="1"/>
    <xf numFmtId="0" fontId="13" fillId="0" borderId="21" xfId="0" applyFont="1" applyBorder="1"/>
    <xf numFmtId="0" fontId="13" fillId="0" borderId="22" xfId="0" applyFont="1" applyBorder="1"/>
    <xf numFmtId="0" fontId="13" fillId="0" borderId="13" xfId="0" applyFont="1" applyBorder="1"/>
    <xf numFmtId="0" fontId="13" fillId="0" borderId="1" xfId="0" applyFont="1" applyBorder="1"/>
    <xf numFmtId="0" fontId="13" fillId="0" borderId="23" xfId="0" applyFont="1" applyBorder="1"/>
    <xf numFmtId="0" fontId="13" fillId="0" borderId="14" xfId="0" applyFont="1" applyBorder="1"/>
    <xf numFmtId="0" fontId="13" fillId="0" borderId="24" xfId="0" applyFont="1" applyBorder="1"/>
    <xf numFmtId="0" fontId="13" fillId="0" borderId="25" xfId="0" applyFont="1" applyBorder="1"/>
    <xf numFmtId="0" fontId="12" fillId="0" borderId="0" xfId="0" applyFont="1" applyAlignment="1">
      <alignment horizontal="center"/>
    </xf>
    <xf numFmtId="0" fontId="12" fillId="0" borderId="0" xfId="0" applyFont="1"/>
    <xf numFmtId="165" fontId="13" fillId="0" borderId="0" xfId="0" applyNumberFormat="1" applyFont="1"/>
    <xf numFmtId="0" fontId="12" fillId="0" borderId="0" xfId="0" applyFont="1" applyAlignment="1">
      <alignment horizontal="justify" vertical="center" wrapText="1"/>
    </xf>
    <xf numFmtId="0" fontId="13" fillId="0" borderId="0" xfId="0" applyFont="1" applyAlignment="1">
      <alignment horizontal="justify" vertical="center" wrapText="1"/>
    </xf>
    <xf numFmtId="0" fontId="12" fillId="0" borderId="3" xfId="0" applyFont="1" applyBorder="1" applyAlignment="1">
      <alignment horizontal="justify" vertical="center" wrapText="1"/>
    </xf>
    <xf numFmtId="9" fontId="12" fillId="0" borderId="3" xfId="0" applyNumberFormat="1" applyFont="1" applyBorder="1" applyAlignment="1">
      <alignment horizontal="justify" vertical="center" wrapText="1"/>
    </xf>
    <xf numFmtId="0" fontId="13" fillId="0" borderId="16" xfId="0" applyFont="1" applyBorder="1" applyAlignment="1">
      <alignment wrapText="1"/>
    </xf>
    <xf numFmtId="0" fontId="12" fillId="0" borderId="0" xfId="0" applyFont="1" applyFill="1"/>
    <xf numFmtId="164" fontId="13" fillId="0" borderId="1" xfId="0" applyNumberFormat="1" applyFont="1" applyBorder="1"/>
    <xf numFmtId="0" fontId="13" fillId="0" borderId="26" xfId="0" applyFont="1" applyBorder="1"/>
    <xf numFmtId="0" fontId="13" fillId="0" borderId="0" xfId="0" applyFont="1" applyBorder="1"/>
    <xf numFmtId="164" fontId="19" fillId="0" borderId="0" xfId="0" applyNumberFormat="1" applyFont="1" applyBorder="1"/>
    <xf numFmtId="164" fontId="20" fillId="0" borderId="0" xfId="0" applyNumberFormat="1" applyFont="1" applyBorder="1"/>
    <xf numFmtId="165" fontId="13" fillId="0" borderId="19" xfId="0" applyNumberFormat="1" applyFont="1" applyBorder="1"/>
    <xf numFmtId="0" fontId="13" fillId="0" borderId="1" xfId="0" applyFont="1" applyBorder="1" applyAlignment="1">
      <alignment wrapText="1"/>
    </xf>
    <xf numFmtId="0" fontId="13" fillId="0" borderId="27" xfId="0" applyFont="1" applyBorder="1"/>
    <xf numFmtId="0" fontId="13" fillId="0" borderId="28" xfId="0" applyFont="1" applyBorder="1"/>
    <xf numFmtId="0" fontId="13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/>
    </xf>
    <xf numFmtId="10" fontId="13" fillId="2" borderId="1" xfId="0" applyNumberFormat="1" applyFont="1" applyFill="1" applyBorder="1" applyAlignment="1">
      <alignment horizontal="left"/>
    </xf>
    <xf numFmtId="9" fontId="13" fillId="2" borderId="1" xfId="0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center" vertical="center"/>
    </xf>
    <xf numFmtId="9" fontId="13" fillId="2" borderId="1" xfId="0" applyNumberFormat="1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horizontal="center" vertical="center"/>
    </xf>
    <xf numFmtId="1" fontId="13" fillId="3" borderId="1" xfId="0" applyNumberFormat="1" applyFont="1" applyFill="1" applyBorder="1" applyAlignment="1">
      <alignment horizontal="center" vertical="center"/>
    </xf>
    <xf numFmtId="1" fontId="13" fillId="3" borderId="29" xfId="0" applyNumberFormat="1" applyFont="1" applyFill="1" applyBorder="1" applyAlignment="1">
      <alignment horizontal="center" vertical="center"/>
    </xf>
    <xf numFmtId="10" fontId="13" fillId="3" borderId="1" xfId="0" applyNumberFormat="1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/>
    <xf numFmtId="0" fontId="13" fillId="4" borderId="1" xfId="0" applyFont="1" applyFill="1" applyBorder="1" applyAlignment="1">
      <alignment horizontal="justify" vertical="center"/>
    </xf>
    <xf numFmtId="0" fontId="13" fillId="4" borderId="1" xfId="0" applyFont="1" applyFill="1" applyBorder="1" applyAlignment="1">
      <alignment horizontal="center" vertical="center"/>
    </xf>
    <xf numFmtId="49" fontId="13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0" fontId="13" fillId="4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49" fontId="13" fillId="4" borderId="1" xfId="0" applyNumberFormat="1" applyFont="1" applyFill="1" applyBorder="1" applyAlignment="1">
      <alignment horizontal="center" vertical="center" wrapText="1"/>
    </xf>
    <xf numFmtId="1" fontId="13" fillId="4" borderId="1" xfId="0" applyNumberFormat="1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left"/>
    </xf>
    <xf numFmtId="0" fontId="13" fillId="6" borderId="1" xfId="0" applyFont="1" applyFill="1" applyBorder="1" applyAlignment="1">
      <alignment horizontal="center" vertical="center"/>
    </xf>
    <xf numFmtId="0" fontId="13" fillId="6" borderId="1" xfId="0" applyFont="1" applyFill="1" applyBorder="1"/>
    <xf numFmtId="0" fontId="13" fillId="6" borderId="29" xfId="0" applyFont="1" applyFill="1" applyBorder="1" applyAlignment="1">
      <alignment horizontal="center" vertical="center"/>
    </xf>
    <xf numFmtId="0" fontId="12" fillId="7" borderId="1" xfId="0" applyFont="1" applyFill="1" applyBorder="1"/>
    <xf numFmtId="0" fontId="13" fillId="0" borderId="0" xfId="0" applyFont="1" applyAlignment="1">
      <alignment horizontal="center"/>
    </xf>
    <xf numFmtId="2" fontId="13" fillId="0" borderId="0" xfId="0" applyNumberFormat="1" applyFont="1"/>
    <xf numFmtId="0" fontId="12" fillId="8" borderId="12" xfId="0" applyFont="1" applyFill="1" applyBorder="1" applyAlignment="1">
      <alignment horizontal="justify" vertical="center"/>
    </xf>
    <xf numFmtId="0" fontId="12" fillId="8" borderId="11" xfId="0" applyFont="1" applyFill="1" applyBorder="1"/>
    <xf numFmtId="0" fontId="12" fillId="8" borderId="19" xfId="0" applyFont="1" applyFill="1" applyBorder="1"/>
    <xf numFmtId="0" fontId="12" fillId="8" borderId="13" xfId="0" applyFont="1" applyFill="1" applyBorder="1" applyAlignment="1">
      <alignment wrapText="1"/>
    </xf>
    <xf numFmtId="0" fontId="12" fillId="8" borderId="14" xfId="0" applyFont="1" applyFill="1" applyBorder="1" applyAlignment="1">
      <alignment wrapText="1"/>
    </xf>
    <xf numFmtId="0" fontId="13" fillId="0" borderId="32" xfId="0" applyFont="1" applyBorder="1"/>
    <xf numFmtId="0" fontId="13" fillId="0" borderId="33" xfId="0" applyFont="1" applyBorder="1"/>
    <xf numFmtId="0" fontId="13" fillId="0" borderId="34" xfId="0" applyFont="1" applyBorder="1"/>
    <xf numFmtId="0" fontId="13" fillId="0" borderId="35" xfId="0" applyFont="1" applyBorder="1"/>
    <xf numFmtId="0" fontId="13" fillId="0" borderId="36" xfId="0" applyFont="1" applyBorder="1"/>
    <xf numFmtId="0" fontId="13" fillId="0" borderId="37" xfId="0" applyFont="1" applyBorder="1"/>
    <xf numFmtId="0" fontId="13" fillId="0" borderId="5" xfId="0" applyFont="1" applyBorder="1"/>
    <xf numFmtId="0" fontId="13" fillId="0" borderId="4" xfId="0" applyFont="1" applyBorder="1"/>
    <xf numFmtId="0" fontId="13" fillId="0" borderId="38" xfId="0" applyFont="1" applyBorder="1"/>
    <xf numFmtId="0" fontId="13" fillId="0" borderId="31" xfId="0" applyFont="1" applyBorder="1"/>
    <xf numFmtId="0" fontId="13" fillId="0" borderId="39" xfId="0" applyFont="1" applyBorder="1"/>
    <xf numFmtId="0" fontId="13" fillId="0" borderId="40" xfId="0" applyFont="1" applyBorder="1"/>
    <xf numFmtId="0" fontId="12" fillId="8" borderId="0" xfId="0" applyFont="1" applyFill="1" applyBorder="1"/>
    <xf numFmtId="0" fontId="12" fillId="8" borderId="0" xfId="0" applyFont="1" applyFill="1" applyBorder="1" applyAlignment="1">
      <alignment wrapText="1"/>
    </xf>
    <xf numFmtId="0" fontId="12" fillId="8" borderId="38" xfId="0" applyFont="1" applyFill="1" applyBorder="1"/>
    <xf numFmtId="0" fontId="12" fillId="8" borderId="31" xfId="0" applyFont="1" applyFill="1" applyBorder="1"/>
    <xf numFmtId="49" fontId="12" fillId="8" borderId="0" xfId="0" applyNumberFormat="1" applyFont="1" applyFill="1" applyBorder="1"/>
    <xf numFmtId="0" fontId="12" fillId="8" borderId="32" xfId="0" applyFont="1" applyFill="1" applyBorder="1"/>
    <xf numFmtId="0" fontId="12" fillId="8" borderId="33" xfId="0" applyFont="1" applyFill="1" applyBorder="1"/>
    <xf numFmtId="49" fontId="12" fillId="8" borderId="33" xfId="0" applyNumberFormat="1" applyFont="1" applyFill="1" applyBorder="1"/>
    <xf numFmtId="0" fontId="12" fillId="8" borderId="34" xfId="0" applyFont="1" applyFill="1" applyBorder="1"/>
    <xf numFmtId="0" fontId="12" fillId="8" borderId="35" xfId="0" applyFont="1" applyFill="1" applyBorder="1"/>
    <xf numFmtId="49" fontId="12" fillId="8" borderId="36" xfId="0" applyNumberFormat="1" applyFont="1" applyFill="1" applyBorder="1"/>
    <xf numFmtId="0" fontId="12" fillId="8" borderId="35" xfId="0" applyFont="1" applyFill="1" applyBorder="1" applyAlignment="1">
      <alignment horizontal="center" wrapText="1"/>
    </xf>
    <xf numFmtId="0" fontId="12" fillId="8" borderId="5" xfId="0" applyFont="1" applyFill="1" applyBorder="1"/>
    <xf numFmtId="0" fontId="13" fillId="3" borderId="1" xfId="0" applyFont="1" applyFill="1" applyBorder="1"/>
    <xf numFmtId="0" fontId="13" fillId="3" borderId="23" xfId="0" applyFont="1" applyFill="1" applyBorder="1"/>
    <xf numFmtId="0" fontId="13" fillId="3" borderId="24" xfId="0" applyFont="1" applyFill="1" applyBorder="1"/>
    <xf numFmtId="0" fontId="13" fillId="3" borderId="25" xfId="0" applyFont="1" applyFill="1" applyBorder="1"/>
    <xf numFmtId="0" fontId="13" fillId="3" borderId="38" xfId="0" applyFont="1" applyFill="1" applyBorder="1" applyAlignment="1">
      <alignment horizontal="center"/>
    </xf>
    <xf numFmtId="0" fontId="13" fillId="3" borderId="39" xfId="0" applyFont="1" applyFill="1" applyBorder="1" applyAlignment="1">
      <alignment horizontal="center"/>
    </xf>
    <xf numFmtId="0" fontId="13" fillId="3" borderId="31" xfId="0" applyFont="1" applyFill="1" applyBorder="1" applyAlignment="1">
      <alignment horizontal="center"/>
    </xf>
    <xf numFmtId="0" fontId="13" fillId="3" borderId="4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13" fillId="3" borderId="36" xfId="0" applyFont="1" applyFill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3" fillId="3" borderId="4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2" fillId="8" borderId="36" xfId="0" applyFont="1" applyFill="1" applyBorder="1"/>
    <xf numFmtId="0" fontId="13" fillId="8" borderId="1" xfId="0" applyFont="1" applyFill="1" applyBorder="1" applyAlignment="1">
      <alignment horizontal="center" vertical="center"/>
    </xf>
    <xf numFmtId="0" fontId="13" fillId="8" borderId="1" xfId="0" applyFont="1" applyFill="1" applyBorder="1"/>
    <xf numFmtId="0" fontId="13" fillId="2" borderId="1" xfId="0" applyFont="1" applyFill="1" applyBorder="1"/>
    <xf numFmtId="164" fontId="13" fillId="3" borderId="1" xfId="0" applyNumberFormat="1" applyFont="1" applyFill="1" applyBorder="1" applyAlignment="1">
      <alignment horizontal="left"/>
    </xf>
    <xf numFmtId="9" fontId="13" fillId="3" borderId="1" xfId="0" applyNumberFormat="1" applyFont="1" applyFill="1" applyBorder="1" applyAlignment="1">
      <alignment horizontal="left"/>
    </xf>
    <xf numFmtId="10" fontId="13" fillId="3" borderId="1" xfId="0" applyNumberFormat="1" applyFont="1" applyFill="1" applyBorder="1" applyAlignment="1">
      <alignment horizontal="left"/>
    </xf>
    <xf numFmtId="0" fontId="0" fillId="0" borderId="0" xfId="0" applyAlignment="1">
      <alignment vertical="center"/>
    </xf>
    <xf numFmtId="0" fontId="21" fillId="0" borderId="0" xfId="0" applyFont="1"/>
    <xf numFmtId="9" fontId="0" fillId="0" borderId="0" xfId="0" applyNumberFormat="1"/>
    <xf numFmtId="0" fontId="12" fillId="0" borderId="0" xfId="0" applyFont="1" applyBorder="1" applyAlignment="1">
      <alignment horizontal="justify" vertical="center" wrapText="1"/>
    </xf>
    <xf numFmtId="0" fontId="0" fillId="0" borderId="0" xfId="0" quotePrefix="1"/>
    <xf numFmtId="0" fontId="22" fillId="0" borderId="0" xfId="0" applyFont="1"/>
    <xf numFmtId="10" fontId="0" fillId="0" borderId="0" xfId="0" applyNumberFormat="1"/>
    <xf numFmtId="0" fontId="0" fillId="0" borderId="0" xfId="0" applyNumberFormat="1"/>
    <xf numFmtId="0" fontId="23" fillId="0" borderId="0" xfId="0" applyFont="1" applyAlignment="1">
      <alignment horizontal="center" vertical="center" readingOrder="1"/>
    </xf>
    <xf numFmtId="0" fontId="0" fillId="0" borderId="0" xfId="0" applyAlignment="1">
      <alignment horizontal="center"/>
    </xf>
    <xf numFmtId="164" fontId="10" fillId="0" borderId="7" xfId="0" applyNumberFormat="1" applyFont="1" applyBorder="1"/>
    <xf numFmtId="0" fontId="10" fillId="0" borderId="7" xfId="0" applyFont="1" applyBorder="1"/>
    <xf numFmtId="164" fontId="9" fillId="0" borderId="7" xfId="0" applyNumberFormat="1" applyFont="1" applyBorder="1"/>
    <xf numFmtId="0" fontId="15" fillId="0" borderId="21" xfId="0" applyFont="1" applyBorder="1"/>
    <xf numFmtId="0" fontId="15" fillId="0" borderId="30" xfId="0" applyFont="1" applyBorder="1"/>
    <xf numFmtId="164" fontId="11" fillId="0" borderId="7" xfId="0" applyNumberFormat="1" applyFont="1" applyBorder="1"/>
    <xf numFmtId="164" fontId="14" fillId="0" borderId="7" xfId="0" applyNumberFormat="1" applyFont="1" applyBorder="1"/>
    <xf numFmtId="164" fontId="19" fillId="0" borderId="7" xfId="0" applyNumberFormat="1" applyFont="1" applyBorder="1"/>
    <xf numFmtId="0" fontId="12" fillId="0" borderId="21" xfId="0" applyFont="1" applyBorder="1"/>
    <xf numFmtId="0" fontId="12" fillId="0" borderId="21" xfId="0" applyFont="1" applyFill="1" applyBorder="1"/>
    <xf numFmtId="0" fontId="12" fillId="0" borderId="30" xfId="0" applyFont="1" applyFill="1" applyBorder="1"/>
    <xf numFmtId="164" fontId="18" fillId="0" borderId="7" xfId="0" applyNumberFormat="1" applyFont="1" applyBorder="1"/>
    <xf numFmtId="164" fontId="20" fillId="0" borderId="7" xfId="0" applyNumberFormat="1" applyFont="1" applyBorder="1"/>
    <xf numFmtId="0" fontId="15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2" fillId="0" borderId="3" xfId="0" applyFont="1" applyBorder="1" applyAlignment="1">
      <alignment horizontal="center" vertical="center" wrapText="1"/>
    </xf>
    <xf numFmtId="0" fontId="12" fillId="0" borderId="41" xfId="0" applyFont="1" applyBorder="1" applyAlignment="1">
      <alignment horizontal="justify" vertical="center" wrapText="1"/>
    </xf>
    <xf numFmtId="0" fontId="12" fillId="0" borderId="3" xfId="0" applyFont="1" applyBorder="1" applyAlignment="1">
      <alignment horizontal="justify" vertical="center" wrapText="1"/>
    </xf>
    <xf numFmtId="0" fontId="12" fillId="0" borderId="41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5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33" xfId="0" applyFon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13" fillId="0" borderId="44" xfId="0" applyFont="1" applyBorder="1" applyAlignment="1">
      <alignment horizontal="center"/>
    </xf>
    <xf numFmtId="0" fontId="13" fillId="0" borderId="45" xfId="0" applyFont="1" applyBorder="1" applyAlignment="1">
      <alignment horizontal="center"/>
    </xf>
    <xf numFmtId="0" fontId="13" fillId="0" borderId="46" xfId="0" applyFont="1" applyBorder="1" applyAlignment="1">
      <alignment horizontal="center"/>
    </xf>
    <xf numFmtId="0" fontId="13" fillId="0" borderId="47" xfId="0" applyFont="1" applyBorder="1" applyAlignment="1">
      <alignment horizontal="center"/>
    </xf>
    <xf numFmtId="0" fontId="13" fillId="0" borderId="48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49" xfId="0" applyFont="1" applyBorder="1" applyAlignment="1">
      <alignment horizontal="center" vertical="center" wrapText="1"/>
    </xf>
    <xf numFmtId="0" fontId="13" fillId="0" borderId="50" xfId="0" applyFont="1" applyBorder="1" applyAlignment="1">
      <alignment horizontal="center" vertical="center" wrapText="1"/>
    </xf>
    <xf numFmtId="0" fontId="16" fillId="0" borderId="41" xfId="0" applyFont="1" applyBorder="1" applyAlignment="1">
      <alignment horizontal="justify" vertical="center"/>
    </xf>
    <xf numFmtId="0" fontId="16" fillId="0" borderId="3" xfId="0" applyFont="1" applyBorder="1" applyAlignment="1">
      <alignment horizontal="justify" vertical="center"/>
    </xf>
    <xf numFmtId="0" fontId="16" fillId="0" borderId="4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42" xfId="0" applyFont="1" applyBorder="1" applyAlignment="1">
      <alignment horizontal="center"/>
    </xf>
    <xf numFmtId="0" fontId="12" fillId="0" borderId="43" xfId="0" applyFont="1" applyBorder="1" applyAlignment="1">
      <alignment horizontal="center"/>
    </xf>
    <xf numFmtId="0" fontId="12" fillId="0" borderId="33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44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6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3" fillId="0" borderId="52" xfId="0" applyFont="1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13" fillId="4" borderId="7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21" xfId="0" applyFont="1" applyFill="1" applyBorder="1" applyAlignment="1">
      <alignment horizontal="center" vertical="center"/>
    </xf>
    <xf numFmtId="49" fontId="13" fillId="4" borderId="29" xfId="0" applyNumberFormat="1" applyFont="1" applyFill="1" applyBorder="1" applyAlignment="1">
      <alignment horizontal="center" vertical="center"/>
    </xf>
    <xf numFmtId="49" fontId="13" fillId="4" borderId="2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13" fillId="4" borderId="21" xfId="0" applyFont="1" applyFill="1" applyBorder="1" applyAlignment="1">
      <alignment horizontal="center" vertical="center" wrapText="1"/>
    </xf>
    <xf numFmtId="0" fontId="13" fillId="6" borderId="33" xfId="0" applyFont="1" applyFill="1" applyBorder="1" applyAlignment="1">
      <alignment horizontal="center"/>
    </xf>
    <xf numFmtId="0" fontId="13" fillId="6" borderId="0" xfId="0" applyFont="1" applyFill="1" applyBorder="1" applyAlignment="1">
      <alignment horizontal="center"/>
    </xf>
    <xf numFmtId="0" fontId="13" fillId="6" borderId="31" xfId="0" applyFont="1" applyFill="1" applyBorder="1" applyAlignment="1">
      <alignment horizontal="center"/>
    </xf>
    <xf numFmtId="0" fontId="13" fillId="6" borderId="40" xfId="0" applyFont="1" applyFill="1" applyBorder="1" applyAlignment="1">
      <alignment horizontal="center"/>
    </xf>
    <xf numFmtId="0" fontId="12" fillId="8" borderId="54" xfId="0" applyFont="1" applyFill="1" applyBorder="1" applyAlignment="1">
      <alignment horizontal="center"/>
    </xf>
    <xf numFmtId="0" fontId="12" fillId="8" borderId="37" xfId="0" applyFont="1" applyFill="1" applyBorder="1" applyAlignment="1">
      <alignment horizontal="center"/>
    </xf>
    <xf numFmtId="0" fontId="12" fillId="0" borderId="33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12" fillId="8" borderId="54" xfId="0" applyFont="1" applyFill="1" applyBorder="1" applyAlignment="1">
      <alignment horizontal="left"/>
    </xf>
    <xf numFmtId="0" fontId="12" fillId="8" borderId="55" xfId="0" applyFont="1" applyFill="1" applyBorder="1" applyAlignment="1">
      <alignment horizontal="left"/>
    </xf>
    <xf numFmtId="0" fontId="12" fillId="8" borderId="35" xfId="0" applyFont="1" applyFill="1" applyBorder="1" applyAlignment="1">
      <alignment horizontal="left"/>
    </xf>
    <xf numFmtId="0" fontId="12" fillId="8" borderId="37" xfId="0" applyFont="1" applyFill="1" applyBorder="1" applyAlignment="1">
      <alignment horizontal="left"/>
    </xf>
    <xf numFmtId="0" fontId="12" fillId="0" borderId="5" xfId="0" applyFont="1" applyBorder="1" applyAlignment="1">
      <alignment horizontal="center" wrapText="1"/>
    </xf>
    <xf numFmtId="0" fontId="12" fillId="0" borderId="5" xfId="0" applyFont="1" applyBorder="1" applyAlignment="1">
      <alignment horizontal="center"/>
    </xf>
    <xf numFmtId="0" fontId="12" fillId="8" borderId="33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/>
    </xf>
    <xf numFmtId="0" fontId="12" fillId="8" borderId="36" xfId="0" applyFont="1" applyFill="1" applyBorder="1" applyAlignment="1">
      <alignment horizontal="center"/>
    </xf>
    <xf numFmtId="0" fontId="12" fillId="8" borderId="32" xfId="0" applyFont="1" applyFill="1" applyBorder="1" applyAlignment="1">
      <alignment horizontal="center" wrapText="1"/>
    </xf>
    <xf numFmtId="0" fontId="12" fillId="8" borderId="35" xfId="0" applyFont="1" applyFill="1" applyBorder="1" applyAlignment="1">
      <alignment horizontal="center" wrapText="1"/>
    </xf>
    <xf numFmtId="0" fontId="12" fillId="8" borderId="55" xfId="0" applyFont="1" applyFill="1" applyBorder="1" applyAlignment="1">
      <alignment horizontal="center" wrapText="1"/>
    </xf>
    <xf numFmtId="0" fontId="12" fillId="8" borderId="33" xfId="0" applyFont="1" applyFill="1" applyBorder="1" applyAlignment="1">
      <alignment horizontal="center" wrapText="1"/>
    </xf>
    <xf numFmtId="0" fontId="12" fillId="8" borderId="0" xfId="0" applyFont="1" applyFill="1" applyBorder="1" applyAlignment="1">
      <alignment horizontal="center" wrapText="1"/>
    </xf>
    <xf numFmtId="0" fontId="12" fillId="8" borderId="31" xfId="0" applyFont="1" applyFill="1" applyBorder="1" applyAlignment="1">
      <alignment horizontal="center" wrapText="1"/>
    </xf>
    <xf numFmtId="0" fontId="12" fillId="8" borderId="55" xfId="0" applyFont="1" applyFill="1" applyBorder="1" applyAlignment="1">
      <alignment horizontal="center"/>
    </xf>
  </cellXfs>
  <cellStyles count="2">
    <cellStyle name="Normal" xfId="0" builtinId="0"/>
    <cellStyle name="Warning Text" xfId="1" builtinId="11"/>
  </cellStyles>
  <dxfs count="1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justify" vertical="center" textRotation="0" wrapText="1" indent="0" justifyLastLine="0" shrinkToFit="0" readingOrder="0"/>
    </dxf>
    <dxf>
      <border outline="0"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justify" vertical="center" textRotation="0" wrapText="1" indent="0" justifyLastLine="0" shrinkToFit="0" readingOrder="0"/>
    </dxf>
    <dxf>
      <border outline="0"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justify" vertical="center" textRotation="0" wrapText="1" indent="0" justifyLastLine="0" shrinkToFit="0" readingOrder="0"/>
    </dxf>
    <dxf>
      <border outline="0"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justify" vertical="center" textRotation="0" wrapText="1" indent="0" justifyLastLine="0" shrinkToFit="0" readingOrder="0"/>
    </dxf>
    <dxf>
      <border outline="0"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r>
              <a:rPr lang="en-GB" sz="1100" b="1"/>
              <a:t>28-day Strength against w/b ratio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89301337332832"/>
          <c:y val="6.6560564226992303E-2"/>
          <c:w val="0.82515539724201148"/>
          <c:h val="0.79448416055431093"/>
        </c:manualLayout>
      </c:layout>
      <c:scatterChart>
        <c:scatterStyle val="lineMarker"/>
        <c:varyColors val="0"/>
        <c:ser>
          <c:idx val="0"/>
          <c:order val="0"/>
          <c:tx>
            <c:v>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'e, CEM II'!$C$17:$C$21</c:f>
              <c:numCache>
                <c:formatCode>General</c:formatCode>
                <c:ptCount val="5"/>
                <c:pt idx="0">
                  <c:v>65.099999999999994</c:v>
                </c:pt>
                <c:pt idx="1">
                  <c:v>62.4</c:v>
                </c:pt>
                <c:pt idx="2">
                  <c:v>59.1</c:v>
                </c:pt>
                <c:pt idx="3">
                  <c:v>49.8</c:v>
                </c:pt>
                <c:pt idx="4">
                  <c:v>37.200000000000003</c:v>
                </c:pt>
              </c:numCache>
            </c:numRef>
          </c:xVal>
          <c:yVal>
            <c:numRef>
              <c:f>'e, CEM II'!$B$17:$B$21</c:f>
              <c:numCache>
                <c:formatCode>General</c:formatCode>
                <c:ptCount val="5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7-4F05-AFD9-4966B26F764B}"/>
            </c:ext>
          </c:extLst>
        </c:ser>
        <c:ser>
          <c:idx val="1"/>
          <c:order val="1"/>
          <c:tx>
            <c:v>5%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'e, CEM II'!$D$18:$D$22</c:f>
              <c:numCache>
                <c:formatCode>General</c:formatCode>
                <c:ptCount val="5"/>
                <c:pt idx="0">
                  <c:v>62.9</c:v>
                </c:pt>
                <c:pt idx="1">
                  <c:v>44.7</c:v>
                </c:pt>
                <c:pt idx="2">
                  <c:v>36.700000000000003</c:v>
                </c:pt>
                <c:pt idx="3">
                  <c:v>33.299999999999997</c:v>
                </c:pt>
                <c:pt idx="4">
                  <c:v>27.6</c:v>
                </c:pt>
              </c:numCache>
            </c:numRef>
          </c:xVal>
          <c:yVal>
            <c:numRef>
              <c:f>'e, CEM II'!$B$18:$B$22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F7-4F05-AFD9-4966B26F7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42320"/>
        <c:axId val="1"/>
      </c:scatterChart>
      <c:valAx>
        <c:axId val="1767942320"/>
        <c:scaling>
          <c:orientation val="minMax"/>
          <c:max val="70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en-GB" b="1"/>
                  <a:t>Compressive Strength</a:t>
                </a:r>
                <a:r>
                  <a:rPr lang="en-GB" b="1" baseline="0"/>
                  <a:t>, MPa</a:t>
                </a:r>
                <a:endParaRPr lang="en-GB" b="1"/>
              </a:p>
            </c:rich>
          </c:tx>
          <c:layout>
            <c:manualLayout>
              <c:xMode val="edge"/>
              <c:yMode val="edge"/>
              <c:x val="0.40747676237440011"/>
              <c:y val="0.89951809671859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70000000000000007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en-GB" b="1"/>
                  <a:t>w/b ratio</a:t>
                </a:r>
              </a:p>
            </c:rich>
          </c:tx>
          <c:layout>
            <c:manualLayout>
              <c:xMode val="edge"/>
              <c:yMode val="edge"/>
              <c:x val="3.765168747845913E-2"/>
              <c:y val="0.35835693285120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7679423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4381621994220422"/>
          <c:y val="0.93743818503373766"/>
          <c:w val="0.25530411728836921"/>
          <c:h val="4.539443299201328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Cambria" panose="020405030504060302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Cambria" panose="020405030504060302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r>
              <a:rPr lang="en-GB" sz="1100" b="1"/>
              <a:t>28-day Strength against w/b ratio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89301337332832"/>
          <c:y val="6.6560564226992303E-2"/>
          <c:w val="0.82515539724201148"/>
          <c:h val="0.79448416055431093"/>
        </c:manualLayout>
      </c:layout>
      <c:scatterChart>
        <c:scatterStyle val="lineMarker"/>
        <c:varyColors val="0"/>
        <c:ser>
          <c:idx val="0"/>
          <c:order val="0"/>
          <c:tx>
            <c:v>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'e, CEM II'!$C$17:$C$21</c:f>
              <c:numCache>
                <c:formatCode>General</c:formatCode>
                <c:ptCount val="5"/>
                <c:pt idx="0">
                  <c:v>65.099999999999994</c:v>
                </c:pt>
                <c:pt idx="1">
                  <c:v>62.4</c:v>
                </c:pt>
                <c:pt idx="2">
                  <c:v>59.1</c:v>
                </c:pt>
                <c:pt idx="3">
                  <c:v>49.8</c:v>
                </c:pt>
                <c:pt idx="4">
                  <c:v>37.200000000000003</c:v>
                </c:pt>
              </c:numCache>
            </c:numRef>
          </c:xVal>
          <c:yVal>
            <c:numRef>
              <c:f>'e, CEM II'!$B$17:$B$21</c:f>
              <c:numCache>
                <c:formatCode>General</c:formatCode>
                <c:ptCount val="5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39-4112-BDB9-DC9CBCC252BF}"/>
            </c:ext>
          </c:extLst>
        </c:ser>
        <c:ser>
          <c:idx val="1"/>
          <c:order val="1"/>
          <c:tx>
            <c:v>10%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A5A5A5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4.2237433888603036E-2"/>
                  <c:y val="-0.2279165962623770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'e, CEM II'!$E$18:$E$22</c:f>
              <c:numCache>
                <c:formatCode>General</c:formatCode>
                <c:ptCount val="5"/>
                <c:pt idx="0">
                  <c:v>66</c:v>
                </c:pt>
                <c:pt idx="1">
                  <c:v>60.9</c:v>
                </c:pt>
                <c:pt idx="2">
                  <c:v>52.2</c:v>
                </c:pt>
                <c:pt idx="3">
                  <c:v>44.4</c:v>
                </c:pt>
                <c:pt idx="4">
                  <c:v>34.200000000000003</c:v>
                </c:pt>
              </c:numCache>
            </c:numRef>
          </c:xVal>
          <c:yVal>
            <c:numRef>
              <c:f>'e, CEM II'!$B$18:$B$22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39-4112-BDB9-DC9CBCC25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51888"/>
        <c:axId val="1"/>
      </c:scatterChart>
      <c:valAx>
        <c:axId val="1767951888"/>
        <c:scaling>
          <c:orientation val="minMax"/>
          <c:max val="70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en-GB" b="1"/>
                  <a:t>Compressive Strength</a:t>
                </a:r>
                <a:r>
                  <a:rPr lang="en-GB" b="1" baseline="0"/>
                  <a:t>, MPa</a:t>
                </a:r>
                <a:endParaRPr lang="en-GB" b="1"/>
              </a:p>
            </c:rich>
          </c:tx>
          <c:layout>
            <c:manualLayout>
              <c:xMode val="edge"/>
              <c:yMode val="edge"/>
              <c:x val="0.40747675384798004"/>
              <c:y val="0.899518096718596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70000000000000007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en-GB" b="1"/>
                  <a:t>w/b ratio</a:t>
                </a:r>
              </a:p>
            </c:rich>
          </c:tx>
          <c:layout>
            <c:manualLayout>
              <c:xMode val="edge"/>
              <c:yMode val="edge"/>
              <c:x val="3.7651600082652989E-2"/>
              <c:y val="0.35835693285120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7679518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4381628175874999"/>
          <c:y val="0.93743818503373766"/>
          <c:w val="0.25530416738108741"/>
          <c:h val="4.539443299201328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Cambria" panose="020405030504060302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Cambria" panose="020405030504060302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0% Percentage Replacement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Sheet2!$B$2</c:f>
              <c:strCache>
                <c:ptCount val="1"/>
                <c:pt idx="0">
                  <c:v>Compressive Strength (Mpa)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Sheet2!$A$3:$A$7</c:f>
              <c:numCache>
                <c:formatCode>General</c:formatCode>
                <c:ptCount val="5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</c:numCache>
            </c:numRef>
          </c:xVal>
          <c:yVal>
            <c:numRef>
              <c:f>Sheet2!$B$3:$B$7</c:f>
              <c:numCache>
                <c:formatCode>General</c:formatCode>
                <c:ptCount val="5"/>
                <c:pt idx="0">
                  <c:v>65.099999999999994</c:v>
                </c:pt>
                <c:pt idx="1">
                  <c:v>62.4</c:v>
                </c:pt>
                <c:pt idx="2">
                  <c:v>59.1</c:v>
                </c:pt>
                <c:pt idx="3">
                  <c:v>49.8</c:v>
                </c:pt>
                <c:pt idx="4">
                  <c:v>37.200000000000003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D2-4FF6-B5AD-E4F4E0FC6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83936"/>
        <c:axId val="1"/>
      </c:scatterChart>
      <c:valAx>
        <c:axId val="177068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Compressive Strength</a:t>
                </a:r>
                <a:r>
                  <a:rPr lang="en-US" baseline="0"/>
                  <a:t> (</a:t>
                </a:r>
                <a:r>
                  <a:rPr lang="en-US"/>
                  <a:t>MPa)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w/b ratio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839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10% Percentage Replacement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Sheet2!$H$2</c:f>
              <c:strCache>
                <c:ptCount val="1"/>
                <c:pt idx="0">
                  <c:v>Compressive Strength (Mpa)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Sheet2!$G$3:$G$7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xVal>
          <c:yVal>
            <c:numRef>
              <c:f>Sheet2!$H$3:$H$7</c:f>
              <c:numCache>
                <c:formatCode>General</c:formatCode>
                <c:ptCount val="5"/>
                <c:pt idx="0">
                  <c:v>66</c:v>
                </c:pt>
                <c:pt idx="1">
                  <c:v>60.9</c:v>
                </c:pt>
                <c:pt idx="2">
                  <c:v>52.2</c:v>
                </c:pt>
                <c:pt idx="3">
                  <c:v>44.4</c:v>
                </c:pt>
                <c:pt idx="4">
                  <c:v>34.200000000000003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8-4FE7-B399-54DE1C34D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90592"/>
        <c:axId val="1"/>
      </c:scatterChart>
      <c:valAx>
        <c:axId val="177069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Compressive Strength (MPa)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w/b ratio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905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5% Percentage Replacement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Sheet2!$E$2</c:f>
              <c:strCache>
                <c:ptCount val="1"/>
                <c:pt idx="0">
                  <c:v>Compressive Strength (Mpa)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Sheet2!$D$3:$D$7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xVal>
          <c:yVal>
            <c:numRef>
              <c:f>Sheet2!$E$3:$E$7</c:f>
              <c:numCache>
                <c:formatCode>General</c:formatCode>
                <c:ptCount val="5"/>
                <c:pt idx="0">
                  <c:v>62.9</c:v>
                </c:pt>
                <c:pt idx="1">
                  <c:v>44.7</c:v>
                </c:pt>
                <c:pt idx="2">
                  <c:v>36.700000000000003</c:v>
                </c:pt>
                <c:pt idx="3">
                  <c:v>33.299999999999997</c:v>
                </c:pt>
                <c:pt idx="4">
                  <c:v>27.6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1F-4C6D-BD64-106F90B07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91008"/>
        <c:axId val="1"/>
      </c:scatterChart>
      <c:valAx>
        <c:axId val="177069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Compressive Strength (MPa)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w/b ratio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910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15% Percentage Replacement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Sheet2!$K$2</c:f>
              <c:strCache>
                <c:ptCount val="1"/>
                <c:pt idx="0">
                  <c:v>Compressive Strength (Mpa)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Sheet2!$J$3:$J$7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xVal>
          <c:yVal>
            <c:numRef>
              <c:f>Sheet2!$K$3:$K$7</c:f>
              <c:numCache>
                <c:formatCode>General</c:formatCode>
                <c:ptCount val="5"/>
                <c:pt idx="0">
                  <c:v>51.9</c:v>
                </c:pt>
                <c:pt idx="1">
                  <c:v>51.7</c:v>
                </c:pt>
                <c:pt idx="2">
                  <c:v>40.200000000000003</c:v>
                </c:pt>
                <c:pt idx="3">
                  <c:v>38.4</c:v>
                </c:pt>
                <c:pt idx="4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F9-4AE8-94D2-EB7696C5B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86848"/>
        <c:axId val="1"/>
      </c:scatterChart>
      <c:valAx>
        <c:axId val="177068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Compressive Strength (MPa)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w/b ratio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868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r>
              <a:rPr lang="en-GB" sz="1100" b="1"/>
              <a:t>Sample B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61132983377077"/>
          <c:y val="0.13618073782443862"/>
          <c:w val="0.81749978127734035"/>
          <c:h val="0.65606354036032699"/>
        </c:manualLayout>
      </c:layout>
      <c:scatterChart>
        <c:scatterStyle val="lineMarker"/>
        <c:varyColors val="0"/>
        <c:ser>
          <c:idx val="0"/>
          <c:order val="0"/>
          <c:tx>
            <c:v>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layout>
                <c:manualLayout>
                  <c:x val="5.9057103890461189E-3"/>
                  <c:y val="0.2107762930048681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I'!$D$20:$D$23</c:f>
              <c:numCache>
                <c:formatCode>General</c:formatCode>
                <c:ptCount val="4"/>
                <c:pt idx="0">
                  <c:v>2</c:v>
                </c:pt>
                <c:pt idx="1">
                  <c:v>14</c:v>
                </c:pt>
                <c:pt idx="2">
                  <c:v>23</c:v>
                </c:pt>
                <c:pt idx="3">
                  <c:v>96</c:v>
                </c:pt>
              </c:numCache>
            </c:numRef>
          </c:xVal>
          <c:yVal>
            <c:numRef>
              <c:f>'f, CEM I'!$C$20:$C$23</c:f>
              <c:numCache>
                <c:formatCode>General</c:formatCode>
                <c:ptCount val="4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C-46E5-B236-F126B0FE0E8B}"/>
            </c:ext>
          </c:extLst>
        </c:ser>
        <c:ser>
          <c:idx val="1"/>
          <c:order val="1"/>
          <c:tx>
            <c:v>5%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forward val="0.1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I'!$E$20:$E$24</c:f>
              <c:numCache>
                <c:formatCode>General</c:formatCode>
                <c:ptCount val="5"/>
                <c:pt idx="0">
                  <c:v>0</c:v>
                </c:pt>
                <c:pt idx="1">
                  <c:v>6</c:v>
                </c:pt>
                <c:pt idx="2">
                  <c:v>16</c:v>
                </c:pt>
                <c:pt idx="3">
                  <c:v>24</c:v>
                </c:pt>
                <c:pt idx="4">
                  <c:v>67</c:v>
                </c:pt>
              </c:numCache>
            </c:numRef>
          </c:xVal>
          <c:yVal>
            <c:numRef>
              <c:f>'f, CEM I'!$C$20:$C$24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6C-46E5-B236-F126B0FE0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44816"/>
        <c:axId val="1"/>
      </c:scatterChart>
      <c:valAx>
        <c:axId val="176794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Slump, mm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w/b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7679448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9711598113172915"/>
          <c:y val="0.89513018372703412"/>
          <c:w val="0.55962355230071759"/>
          <c:h val="7.60929133858267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Cambria" panose="020405030504060302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Cambria" panose="020405030504060302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r>
              <a:rPr lang="en-GB" sz="1100" b="1"/>
              <a:t>Sample 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61132983377077"/>
          <c:y val="0.13618073782443862"/>
          <c:w val="0.81749978127734035"/>
          <c:h val="0.65606354036032699"/>
        </c:manualLayout>
      </c:layout>
      <c:scatterChart>
        <c:scatterStyle val="lineMarker"/>
        <c:varyColors val="0"/>
        <c:ser>
          <c:idx val="0"/>
          <c:order val="0"/>
          <c:tx>
            <c:v>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layout>
                <c:manualLayout>
                  <c:x val="4.1456417598149879E-2"/>
                  <c:y val="5.5331233595800527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I'!$D$20:$D$23</c:f>
              <c:numCache>
                <c:formatCode>General</c:formatCode>
                <c:ptCount val="4"/>
                <c:pt idx="0">
                  <c:v>2</c:v>
                </c:pt>
                <c:pt idx="1">
                  <c:v>14</c:v>
                </c:pt>
                <c:pt idx="2">
                  <c:v>23</c:v>
                </c:pt>
                <c:pt idx="3">
                  <c:v>96</c:v>
                </c:pt>
              </c:numCache>
            </c:numRef>
          </c:xVal>
          <c:yVal>
            <c:numRef>
              <c:f>'f, CEM I'!$C$20:$C$23</c:f>
              <c:numCache>
                <c:formatCode>General</c:formatCode>
                <c:ptCount val="4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F2-4B45-A40B-45D0BD79CD7E}"/>
            </c:ext>
          </c:extLst>
        </c:ser>
        <c:ser>
          <c:idx val="1"/>
          <c:order val="1"/>
          <c:tx>
            <c:v>15%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poly"/>
            <c:order val="2"/>
            <c:forward val="0.1"/>
            <c:dispRSqr val="0"/>
            <c:dispEq val="1"/>
            <c:trendlineLbl>
              <c:layout>
                <c:manualLayout>
                  <c:x val="0.30069930069930068"/>
                  <c:y val="-1.1292013695138501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I'!$G$20:$G$24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16</c:v>
                </c:pt>
                <c:pt idx="4">
                  <c:v>37</c:v>
                </c:pt>
              </c:numCache>
            </c:numRef>
          </c:xVal>
          <c:yVal>
            <c:numRef>
              <c:f>'f, CEM I'!$C$20:$C$24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F2-4B45-A40B-45D0BD79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46480"/>
        <c:axId val="1"/>
      </c:scatterChart>
      <c:valAx>
        <c:axId val="176794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Slump, mm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w/b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7679464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9711598113172915"/>
          <c:y val="0.89513018372703412"/>
          <c:w val="0.55962355230071759"/>
          <c:h val="7.60929133858267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Cambria" panose="020405030504060302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Cambria" panose="020405030504060302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r>
              <a:rPr lang="en-GB" sz="1100" b="1"/>
              <a:t>Sample B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61132983377077"/>
          <c:y val="0.13618073782443862"/>
          <c:w val="0.81749978127734035"/>
          <c:h val="0.65606354036032699"/>
        </c:manualLayout>
      </c:layout>
      <c:scatterChart>
        <c:scatterStyle val="lineMarker"/>
        <c:varyColors val="0"/>
        <c:ser>
          <c:idx val="0"/>
          <c:order val="0"/>
          <c:tx>
            <c:v>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layout>
                <c:manualLayout>
                  <c:x val="5.9057103890461189E-3"/>
                  <c:y val="0.2107762930048681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I'!$D$20:$D$23</c:f>
              <c:numCache>
                <c:formatCode>General</c:formatCode>
                <c:ptCount val="4"/>
                <c:pt idx="0">
                  <c:v>2</c:v>
                </c:pt>
                <c:pt idx="1">
                  <c:v>14</c:v>
                </c:pt>
                <c:pt idx="2">
                  <c:v>23</c:v>
                </c:pt>
                <c:pt idx="3">
                  <c:v>96</c:v>
                </c:pt>
              </c:numCache>
            </c:numRef>
          </c:xVal>
          <c:yVal>
            <c:numRef>
              <c:f>'f, CEM I'!$C$20:$C$23</c:f>
              <c:numCache>
                <c:formatCode>General</c:formatCode>
                <c:ptCount val="4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60-4D42-9E32-FD4C18C699FA}"/>
            </c:ext>
          </c:extLst>
        </c:ser>
        <c:ser>
          <c:idx val="1"/>
          <c:order val="1"/>
          <c:tx>
            <c:v>10%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poly"/>
            <c:order val="2"/>
            <c:forward val="0.1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I'!$F$20:$F$24</c:f>
              <c:numCache>
                <c:formatCode>General</c:formatCode>
                <c:ptCount val="5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25</c:v>
                </c:pt>
                <c:pt idx="4">
                  <c:v>54</c:v>
                </c:pt>
              </c:numCache>
            </c:numRef>
          </c:xVal>
          <c:yVal>
            <c:numRef>
              <c:f>'f, CEM I'!$C$20:$C$24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60-4D42-9E32-FD4C18C69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46896"/>
        <c:axId val="1"/>
      </c:scatterChart>
      <c:valAx>
        <c:axId val="176794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Slump, mm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w/b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7679468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9711598113172915"/>
          <c:y val="0.89513018372703412"/>
          <c:w val="0.55962355230071759"/>
          <c:h val="7.60929133858267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Cambria" panose="020405030504060302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Cambria" panose="020405030504060302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r>
              <a:rPr lang="en-GB" sz="1100" b="1"/>
              <a:t>Sample B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61132983377077"/>
          <c:y val="0.13618073782443862"/>
          <c:w val="0.81749978127734035"/>
          <c:h val="0.65606354036032699"/>
        </c:manualLayout>
      </c:layout>
      <c:scatterChart>
        <c:scatterStyle val="lineMarker"/>
        <c:varyColors val="0"/>
        <c:ser>
          <c:idx val="0"/>
          <c:order val="0"/>
          <c:tx>
            <c:v>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layout>
                <c:manualLayout>
                  <c:x val="5.9057103890461189E-3"/>
                  <c:y val="0.2107762930048681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II'!$B$20:$B$24</c:f>
              <c:numCache>
                <c:formatCode>General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40</c:v>
                </c:pt>
                <c:pt idx="4">
                  <c:v>92</c:v>
                </c:pt>
              </c:numCache>
            </c:numRef>
          </c:xVal>
          <c:yVal>
            <c:numRef>
              <c:f>'f, CEM II'!$A$20:$A$24</c:f>
              <c:numCache>
                <c:formatCode>General</c:formatCode>
                <c:ptCount val="5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31-47AD-B21D-DF6A2C31A7B4}"/>
            </c:ext>
          </c:extLst>
        </c:ser>
        <c:ser>
          <c:idx val="1"/>
          <c:order val="1"/>
          <c:tx>
            <c:v>5%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II'!$C$21:$C$25</c:f>
              <c:numCache>
                <c:formatCode>General</c:formatCode>
                <c:ptCount val="5"/>
                <c:pt idx="0">
                  <c:v>3</c:v>
                </c:pt>
                <c:pt idx="1">
                  <c:v>9</c:v>
                </c:pt>
                <c:pt idx="2">
                  <c:v>17</c:v>
                </c:pt>
                <c:pt idx="3">
                  <c:v>53</c:v>
                </c:pt>
                <c:pt idx="4">
                  <c:v>70</c:v>
                </c:pt>
              </c:numCache>
            </c:numRef>
          </c:xVal>
          <c:yVal>
            <c:numRef>
              <c:f>'f, CEM II'!$A$21:$A$25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31-47AD-B21D-DF6A2C31A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47312"/>
        <c:axId val="1"/>
      </c:scatterChart>
      <c:valAx>
        <c:axId val="176794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Slump, mm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accent3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w/b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76794731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9711598113172915"/>
          <c:y val="0.89513018372703412"/>
          <c:w val="0.55962355230071759"/>
          <c:h val="7.60929133858267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Cambria" panose="020405030504060302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Cambria" panose="020405030504060302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r>
              <a:rPr lang="en-GB" sz="1100" b="1"/>
              <a:t>Sample C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61132983377077"/>
          <c:y val="0.13618073782443862"/>
          <c:w val="0.81749978127734035"/>
          <c:h val="0.65606354036032699"/>
        </c:manualLayout>
      </c:layout>
      <c:scatterChart>
        <c:scatterStyle val="lineMarker"/>
        <c:varyColors val="0"/>
        <c:ser>
          <c:idx val="0"/>
          <c:order val="0"/>
          <c:tx>
            <c:v>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layout>
                <c:manualLayout>
                  <c:x val="5.9057103890461189E-3"/>
                  <c:y val="0.2107762930048681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II'!$B$20:$B$24</c:f>
              <c:numCache>
                <c:formatCode>General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40</c:v>
                </c:pt>
                <c:pt idx="4">
                  <c:v>92</c:v>
                </c:pt>
              </c:numCache>
            </c:numRef>
          </c:xVal>
          <c:yVal>
            <c:numRef>
              <c:f>'f, CEM II'!$A$20:$A$24</c:f>
              <c:numCache>
                <c:formatCode>General</c:formatCode>
                <c:ptCount val="5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C0-417F-B9F9-6B0D19C30D4B}"/>
            </c:ext>
          </c:extLst>
        </c:ser>
        <c:ser>
          <c:idx val="1"/>
          <c:order val="1"/>
          <c:tx>
            <c:v>10%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A5A5A5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II'!$D$21:$D$25</c:f>
              <c:numCache>
                <c:formatCode>General</c:formatCode>
                <c:ptCount val="5"/>
                <c:pt idx="0">
                  <c:v>4</c:v>
                </c:pt>
                <c:pt idx="1">
                  <c:v>8</c:v>
                </c:pt>
                <c:pt idx="2">
                  <c:v>30</c:v>
                </c:pt>
                <c:pt idx="3">
                  <c:v>54</c:v>
                </c:pt>
                <c:pt idx="4">
                  <c:v>63</c:v>
                </c:pt>
              </c:numCache>
            </c:numRef>
          </c:xVal>
          <c:yVal>
            <c:numRef>
              <c:f>'f, CEM II'!$A$21:$A$25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C0-417F-B9F9-6B0D19C30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49392"/>
        <c:axId val="1"/>
      </c:scatterChart>
      <c:valAx>
        <c:axId val="176794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Slump, mm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w/b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76794939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9711591606604728"/>
          <c:y val="0.89513018372703412"/>
          <c:w val="0.55962356557282189"/>
          <c:h val="7.60929133858267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Cambria" panose="020405030504060302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Cambria" panose="020405030504060302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r>
              <a:rPr lang="en-GB" sz="1100" b="1"/>
              <a:t>Sample 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61132983377077"/>
          <c:y val="0.13618073782443862"/>
          <c:w val="0.81749978127734035"/>
          <c:h val="0.65606354036032699"/>
        </c:manualLayout>
      </c:layout>
      <c:scatterChart>
        <c:scatterStyle val="lineMarker"/>
        <c:varyColors val="0"/>
        <c:ser>
          <c:idx val="0"/>
          <c:order val="0"/>
          <c:tx>
            <c:v>0%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4472C4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layout>
                <c:manualLayout>
                  <c:x val="5.9057103890461189E-3"/>
                  <c:y val="0.2107762930048681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II'!$B$20:$B$24</c:f>
              <c:numCache>
                <c:formatCode>General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40</c:v>
                </c:pt>
                <c:pt idx="4">
                  <c:v>92</c:v>
                </c:pt>
              </c:numCache>
            </c:numRef>
          </c:xVal>
          <c:yVal>
            <c:numRef>
              <c:f>'f, CEM II'!$A$20:$A$24</c:f>
              <c:numCache>
                <c:formatCode>General</c:formatCode>
                <c:ptCount val="5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E8-48EC-855A-5CF0225041AC}"/>
            </c:ext>
          </c:extLst>
        </c:ser>
        <c:ser>
          <c:idx val="1"/>
          <c:order val="1"/>
          <c:tx>
            <c:v>15%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  <a:ln w="6350">
                <a:noFill/>
              </a:ln>
            </c:spPr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poly"/>
            <c:order val="2"/>
            <c:forward val="6.5000000000000016E-2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Cambria" panose="02040503050406030204" pitchFamily="18" charset="0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'f, CEM II'!$E$21:$E$25</c:f>
              <c:numCache>
                <c:formatCode>General</c:formatCode>
                <c:ptCount val="5"/>
                <c:pt idx="0">
                  <c:v>9</c:v>
                </c:pt>
                <c:pt idx="1">
                  <c:v>23</c:v>
                </c:pt>
                <c:pt idx="2">
                  <c:v>17</c:v>
                </c:pt>
                <c:pt idx="3">
                  <c:v>32</c:v>
                </c:pt>
                <c:pt idx="4">
                  <c:v>125</c:v>
                </c:pt>
              </c:numCache>
            </c:numRef>
          </c:xVal>
          <c:yVal>
            <c:numRef>
              <c:f>'f, CEM II'!$A$21:$A$25</c:f>
              <c:numCache>
                <c:formatCode>General</c:formatCode>
                <c:ptCount val="5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E8-48EC-855A-5CF022504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50224"/>
        <c:axId val="1"/>
      </c:scatterChart>
      <c:valAx>
        <c:axId val="176795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Slump, mm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w/b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Cambria" panose="020405030504060302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176795022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9711591606604728"/>
          <c:y val="0.89513018372703412"/>
          <c:w val="0.55962356557282189"/>
          <c:h val="7.60929133858267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Cambria" panose="020405030504060302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Cambria" panose="020405030504060302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'f, CEM II'!$C$49:$C$61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'f, CEM II'!$E$49:$E$61</c:f>
              <c:numCache>
                <c:formatCode>General</c:formatCode>
                <c:ptCount val="13"/>
                <c:pt idx="0">
                  <c:v>0.4531</c:v>
                </c:pt>
                <c:pt idx="1">
                  <c:v>0.49609999999999999</c:v>
                </c:pt>
                <c:pt idx="2">
                  <c:v>0.53310000000000002</c:v>
                </c:pt>
                <c:pt idx="3">
                  <c:v>0.56410000000000005</c:v>
                </c:pt>
                <c:pt idx="4">
                  <c:v>0.58909999999999996</c:v>
                </c:pt>
                <c:pt idx="5">
                  <c:v>0.60809999999999997</c:v>
                </c:pt>
                <c:pt idx="6">
                  <c:v>0.62109999999999999</c:v>
                </c:pt>
                <c:pt idx="7">
                  <c:v>0.62809999999999999</c:v>
                </c:pt>
                <c:pt idx="8">
                  <c:v>0.62909999999999999</c:v>
                </c:pt>
                <c:pt idx="9">
                  <c:v>0.62409999999999988</c:v>
                </c:pt>
                <c:pt idx="10">
                  <c:v>0.61309999999999998</c:v>
                </c:pt>
                <c:pt idx="11">
                  <c:v>0.59609999999999996</c:v>
                </c:pt>
                <c:pt idx="12">
                  <c:v>0.57309999999999994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69-4CBD-B6FD-E6E58A286637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'f, CEM II'!$C$49:$C$61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'f, CEM II'!$D$49:$D$61</c:f>
              <c:numCache>
                <c:formatCode>General</c:formatCode>
                <c:ptCount val="13"/>
                <c:pt idx="0">
                  <c:v>0.39439999999999997</c:v>
                </c:pt>
                <c:pt idx="1">
                  <c:v>0.43739999999999996</c:v>
                </c:pt>
                <c:pt idx="2">
                  <c:v>0.47439999999999999</c:v>
                </c:pt>
                <c:pt idx="3">
                  <c:v>0.50539999999999996</c:v>
                </c:pt>
                <c:pt idx="4">
                  <c:v>0.53039999999999998</c:v>
                </c:pt>
                <c:pt idx="5">
                  <c:v>0.54939999999999989</c:v>
                </c:pt>
                <c:pt idx="6">
                  <c:v>0.56240000000000001</c:v>
                </c:pt>
                <c:pt idx="7">
                  <c:v>0.56940000000000002</c:v>
                </c:pt>
                <c:pt idx="8">
                  <c:v>0.57040000000000002</c:v>
                </c:pt>
                <c:pt idx="9">
                  <c:v>0.5653999999999999</c:v>
                </c:pt>
                <c:pt idx="10">
                  <c:v>0.5544</c:v>
                </c:pt>
                <c:pt idx="11">
                  <c:v>0.53739999999999999</c:v>
                </c:pt>
                <c:pt idx="12">
                  <c:v>0.51439999999999997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69-4CBD-B6FD-E6E58A286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53968"/>
        <c:axId val="1"/>
      </c:scatterChart>
      <c:valAx>
        <c:axId val="17679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539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s against </a:t>
            </a:r>
            <a:r>
              <a:rPr lang="en-GB" sz="1400">
                <a:effectLst/>
              </a:rPr>
              <a:t>f</a:t>
            </a:r>
            <a:r>
              <a:rPr lang="en-GB" sz="1400" baseline="-25000">
                <a:effectLst/>
              </a:rPr>
              <a:t>c</a:t>
            </a:r>
            <a:endParaRPr lang="en-GB" sz="18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 Mix Design Charts'!$B$4</c:f>
              <c:strCache>
                <c:ptCount val="1"/>
                <c:pt idx="0">
                  <c:v>A; s for less than 20 results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'BRE Mix Design Charts'!$C$3:$J$3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cat>
          <c:val>
            <c:numRef>
              <c:f>'BRE Mix Design Charts'!$C$4:$J$4</c:f>
              <c:numCache>
                <c:formatCode>General</c:formatCode>
                <c:ptCount val="8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8D-437E-A8A4-59B0AB9EF5A0}"/>
            </c:ext>
          </c:extLst>
        </c:ser>
        <c:ser>
          <c:idx val="1"/>
          <c:order val="1"/>
          <c:tx>
            <c:strRef>
              <c:f>'BRE Mix Design Charts'!$B$5</c:f>
              <c:strCache>
                <c:ptCount val="1"/>
                <c:pt idx="0">
                  <c:v>B; minimum s for 20 or more 20 results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'BRE Mix Design Charts'!$C$5:$J$5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8D-437E-A8A4-59B0AB9EF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51472"/>
        <c:axId val="1"/>
      </c:lineChart>
      <c:catAx>
        <c:axId val="176795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3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sz="1200" b="1"/>
                  <a:t>Characteristic Strength,</a:t>
                </a:r>
                <a:r>
                  <a:rPr lang="en-GB" sz="1200" b="1" baseline="0"/>
                  <a:t> </a:t>
                </a:r>
                <a:r>
                  <a:rPr lang="en-GB" sz="1200" b="1">
                    <a:effectLst/>
                  </a:rPr>
                  <a:t>f</a:t>
                </a:r>
                <a:r>
                  <a:rPr lang="en-GB" sz="1200" b="1" baseline="-25000">
                    <a:effectLst/>
                  </a:rPr>
                  <a:t>c</a:t>
                </a:r>
                <a:r>
                  <a:rPr lang="en-GB" sz="1200" b="1" baseline="0">
                    <a:effectLst/>
                  </a:rPr>
                  <a:t> </a:t>
                </a:r>
                <a:r>
                  <a:rPr lang="en-GB" sz="1200" b="1" baseline="0"/>
                  <a:t>(MPa)</a:t>
                </a:r>
                <a:endParaRPr lang="en-GB" sz="1200" b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sz="1050"/>
                  <a:t>Standard Deviation, 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67951472"/>
        <c:crosses val="autoZero"/>
        <c:crossBetween val="midCat"/>
        <c:majorUnit val="2"/>
        <c:minorUnit val="0.1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 sz="1200" b="1"/>
              <a:t>Relationship</a:t>
            </a:r>
            <a:r>
              <a:rPr lang="en-GB" sz="1200" b="1" baseline="0"/>
              <a:t> between free water-cement ratio and compressive strength</a:t>
            </a:r>
            <a:endParaRPr lang="en-GB" sz="1200" b="1"/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Chart 1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cat>
            <c:numRef>
              <c:f>'BRE Mix Design Charts'!$Q$17:$W$17</c:f>
              <c:numCache>
                <c:formatCode>General</c:formatCode>
                <c:ptCount val="7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0.8</c:v>
                </c:pt>
                <c:pt idx="6">
                  <c:v>0.9</c:v>
                </c:pt>
              </c:numCache>
            </c:numRef>
          </c:cat>
          <c:val>
            <c:numRef>
              <c:f>'BRE Mix Design Charts'!$Q$18:$W$18</c:f>
              <c:numCache>
                <c:formatCode>General</c:formatCode>
                <c:ptCount val="7"/>
                <c:pt idx="0">
                  <c:v>15</c:v>
                </c:pt>
                <c:pt idx="1">
                  <c:v>9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1.5</c:v>
                </c:pt>
                <c:pt idx="6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30-4DB9-8D79-C89856E35BE7}"/>
            </c:ext>
          </c:extLst>
        </c:ser>
        <c:ser>
          <c:idx val="1"/>
          <c:order val="1"/>
          <c:tx>
            <c:v>Chart 2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val>
            <c:numRef>
              <c:f>'BRE Mix Design Charts'!$Q$19:$W$19</c:f>
              <c:numCache>
                <c:formatCode>General</c:formatCode>
                <c:ptCount val="7"/>
                <c:pt idx="0">
                  <c:v>25</c:v>
                </c:pt>
                <c:pt idx="1">
                  <c:v>17</c:v>
                </c:pt>
                <c:pt idx="2">
                  <c:v>10</c:v>
                </c:pt>
                <c:pt idx="3">
                  <c:v>7</c:v>
                </c:pt>
                <c:pt idx="4">
                  <c:v>4.5</c:v>
                </c:pt>
                <c:pt idx="5">
                  <c:v>3</c:v>
                </c:pt>
                <c:pt idx="6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30-4DB9-8D79-C89856E35BE7}"/>
            </c:ext>
          </c:extLst>
        </c:ser>
        <c:ser>
          <c:idx val="2"/>
          <c:order val="2"/>
          <c:tx>
            <c:v>Chart 3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val>
            <c:numRef>
              <c:f>'BRE Mix Design Charts'!$Q$20:$W$20</c:f>
              <c:numCache>
                <c:formatCode>General</c:formatCode>
                <c:ptCount val="7"/>
                <c:pt idx="0">
                  <c:v>37.5</c:v>
                </c:pt>
                <c:pt idx="1">
                  <c:v>22.5</c:v>
                </c:pt>
                <c:pt idx="2">
                  <c:v>15</c:v>
                </c:pt>
                <c:pt idx="3">
                  <c:v>10</c:v>
                </c:pt>
                <c:pt idx="4">
                  <c:v>8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30-4DB9-8D79-C89856E35BE7}"/>
            </c:ext>
          </c:extLst>
        </c:ser>
        <c:ser>
          <c:idx val="3"/>
          <c:order val="3"/>
          <c:tx>
            <c:v>Chart 4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val>
            <c:numRef>
              <c:f>'BRE Mix Design Charts'!$Q$21:$W$21</c:f>
              <c:numCache>
                <c:formatCode>General</c:formatCode>
                <c:ptCount val="7"/>
                <c:pt idx="0">
                  <c:v>46</c:v>
                </c:pt>
                <c:pt idx="1">
                  <c:v>31</c:v>
                </c:pt>
                <c:pt idx="2">
                  <c:v>20</c:v>
                </c:pt>
                <c:pt idx="3">
                  <c:v>13.5</c:v>
                </c:pt>
                <c:pt idx="4">
                  <c:v>10</c:v>
                </c:pt>
                <c:pt idx="5">
                  <c:v>8</c:v>
                </c:pt>
                <c:pt idx="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30-4DB9-8D79-C89856E35BE7}"/>
            </c:ext>
          </c:extLst>
        </c:ser>
        <c:ser>
          <c:idx val="4"/>
          <c:order val="4"/>
          <c:tx>
            <c:v>Chart 5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val>
            <c:numRef>
              <c:f>'BRE Mix Design Charts'!$Q$22:$W$22</c:f>
              <c:numCache>
                <c:formatCode>General</c:formatCode>
                <c:ptCount val="7"/>
                <c:pt idx="0">
                  <c:v>52</c:v>
                </c:pt>
                <c:pt idx="1">
                  <c:v>37</c:v>
                </c:pt>
                <c:pt idx="2">
                  <c:v>26</c:v>
                </c:pt>
                <c:pt idx="3">
                  <c:v>18</c:v>
                </c:pt>
                <c:pt idx="4">
                  <c:v>12</c:v>
                </c:pt>
                <c:pt idx="5">
                  <c:v>10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830-4DB9-8D79-C89856E35BE7}"/>
            </c:ext>
          </c:extLst>
        </c:ser>
        <c:ser>
          <c:idx val="5"/>
          <c:order val="5"/>
          <c:tx>
            <c:v>Chart 6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val>
            <c:numRef>
              <c:f>'BRE Mix Design Charts'!$Q$23:$W$23</c:f>
              <c:numCache>
                <c:formatCode>General</c:formatCode>
                <c:ptCount val="7"/>
                <c:pt idx="0">
                  <c:v>60</c:v>
                </c:pt>
                <c:pt idx="1">
                  <c:v>42</c:v>
                </c:pt>
                <c:pt idx="2">
                  <c:v>30</c:v>
                </c:pt>
                <c:pt idx="3">
                  <c:v>22</c:v>
                </c:pt>
                <c:pt idx="4">
                  <c:v>16</c:v>
                </c:pt>
                <c:pt idx="5">
                  <c:v>12</c:v>
                </c:pt>
                <c:pt idx="6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30-4DB9-8D79-C89856E35BE7}"/>
            </c:ext>
          </c:extLst>
        </c:ser>
        <c:ser>
          <c:idx val="6"/>
          <c:order val="6"/>
          <c:tx>
            <c:v>Chart 7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val>
            <c:numRef>
              <c:f>'BRE Mix Design Charts'!$Q$24:$W$24</c:f>
              <c:numCache>
                <c:formatCode>General</c:formatCode>
                <c:ptCount val="7"/>
                <c:pt idx="0">
                  <c:v>70</c:v>
                </c:pt>
                <c:pt idx="1">
                  <c:v>53</c:v>
                </c:pt>
                <c:pt idx="2">
                  <c:v>40</c:v>
                </c:pt>
                <c:pt idx="3">
                  <c:v>30</c:v>
                </c:pt>
                <c:pt idx="4">
                  <c:v>23</c:v>
                </c:pt>
                <c:pt idx="5">
                  <c:v>18</c:v>
                </c:pt>
                <c:pt idx="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830-4DB9-8D79-C89856E35BE7}"/>
            </c:ext>
          </c:extLst>
        </c:ser>
        <c:ser>
          <c:idx val="7"/>
          <c:order val="7"/>
          <c:tx>
            <c:v>Chart 8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val>
            <c:numRef>
              <c:f>'BRE Mix Design Charts'!$Q$25:$W$25</c:f>
              <c:numCache>
                <c:formatCode>General</c:formatCode>
                <c:ptCount val="7"/>
                <c:pt idx="0">
                  <c:v>80</c:v>
                </c:pt>
                <c:pt idx="1">
                  <c:v>63</c:v>
                </c:pt>
                <c:pt idx="2">
                  <c:v>50</c:v>
                </c:pt>
                <c:pt idx="3">
                  <c:v>38</c:v>
                </c:pt>
                <c:pt idx="4">
                  <c:v>30</c:v>
                </c:pt>
                <c:pt idx="5">
                  <c:v>24</c:v>
                </c:pt>
                <c:pt idx="6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830-4DB9-8D79-C89856E35BE7}"/>
            </c:ext>
          </c:extLst>
        </c:ser>
        <c:ser>
          <c:idx val="8"/>
          <c:order val="8"/>
          <c:tx>
            <c:v>Chart 9</c:v>
          </c:tx>
          <c:spPr>
            <a:ln w="19050">
              <a:noFill/>
            </a:ln>
          </c:spPr>
          <c:marker>
            <c:symbol val="none"/>
          </c:marker>
          <c:val>
            <c:numRef>
              <c:f>'BRE Mix Design Charts'!$Q$26:$W$26</c:f>
              <c:numCache>
                <c:formatCode>General</c:formatCode>
                <c:ptCount val="7"/>
                <c:pt idx="0">
                  <c:v>89</c:v>
                </c:pt>
                <c:pt idx="1">
                  <c:v>74</c:v>
                </c:pt>
                <c:pt idx="2">
                  <c:v>60</c:v>
                </c:pt>
                <c:pt idx="3">
                  <c:v>48</c:v>
                </c:pt>
                <c:pt idx="4">
                  <c:v>38</c:v>
                </c:pt>
                <c:pt idx="5">
                  <c:v>31</c:v>
                </c:pt>
                <c:pt idx="6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830-4DB9-8D79-C89856E35BE7}"/>
            </c:ext>
          </c:extLst>
        </c:ser>
        <c:ser>
          <c:idx val="9"/>
          <c:order val="9"/>
          <c:tx>
            <c:v>Chart 10</c:v>
          </c:tx>
          <c:spPr>
            <a:ln w="19050">
              <a:noFill/>
            </a:ln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val>
            <c:numRef>
              <c:f>'BRE Mix Design Charts'!$Q$27:$W$27</c:f>
              <c:numCache>
                <c:formatCode>General</c:formatCode>
                <c:ptCount val="7"/>
                <c:pt idx="0">
                  <c:v>100</c:v>
                </c:pt>
                <c:pt idx="1">
                  <c:v>85</c:v>
                </c:pt>
                <c:pt idx="2">
                  <c:v>70</c:v>
                </c:pt>
                <c:pt idx="3">
                  <c:v>57</c:v>
                </c:pt>
                <c:pt idx="4">
                  <c:v>47</c:v>
                </c:pt>
                <c:pt idx="5">
                  <c:v>38</c:v>
                </c:pt>
                <c:pt idx="6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830-4DB9-8D79-C89856E35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44400"/>
        <c:axId val="1"/>
      </c:lineChart>
      <c:catAx>
        <c:axId val="176794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Free-water/cement</a:t>
                </a:r>
                <a:r>
                  <a:rPr lang="en-GB" b="1" baseline="0"/>
                  <a:t> ratio</a:t>
                </a:r>
                <a:endParaRPr lang="en-GB" b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Compressive</a:t>
                </a:r>
                <a:r>
                  <a:rPr lang="en-GB" b="1" baseline="0"/>
                  <a:t> Strength, MPa</a:t>
                </a:r>
                <a:endParaRPr lang="en-GB" b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67944400"/>
        <c:crosses val="autoZero"/>
        <c:crossBetween val="midCat"/>
        <c:majorUnit val="10"/>
      </c:valAx>
      <c:spPr>
        <a:noFill/>
        <a:ln w="158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6, 10mm'!$B$12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strRef>
              <c:f>'FIGURE 6, 10mm'!$A$13:$A$17</c:f>
              <c:strCache>
                <c:ptCount val="5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Formulas</c:v>
                </c:pt>
              </c:strCache>
            </c:strRef>
          </c:xVal>
          <c:yVal>
            <c:numRef>
              <c:f>'FIGURE 6, 10mm'!$B$13:$B$17</c:f>
              <c:numCache>
                <c:formatCode>General</c:formatCode>
                <c:ptCount val="5"/>
                <c:pt idx="0">
                  <c:v>48.329600000000006</c:v>
                </c:pt>
                <c:pt idx="1">
                  <c:v>53.886200000000002</c:v>
                </c:pt>
                <c:pt idx="2">
                  <c:v>59.442800000000005</c:v>
                </c:pt>
                <c:pt idx="3">
                  <c:v>64.999400000000009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68-45F2-9722-1573CCD5F31A}"/>
            </c:ext>
          </c:extLst>
        </c:ser>
        <c:ser>
          <c:idx val="1"/>
          <c:order val="1"/>
          <c:tx>
            <c:strRef>
              <c:f>'FIGURE 6, 10mm'!$C$12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strRef>
              <c:f>'FIGURE 6, 10mm'!$A$13:$A$17</c:f>
              <c:strCache>
                <c:ptCount val="5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Formulas</c:v>
                </c:pt>
              </c:strCache>
            </c:strRef>
          </c:xVal>
          <c:yVal>
            <c:numRef>
              <c:f>'FIGURE 6, 10mm'!$C$13:$C$17</c:f>
              <c:numCache>
                <c:formatCode>General</c:formatCode>
                <c:ptCount val="5"/>
                <c:pt idx="0">
                  <c:v>36.67</c:v>
                </c:pt>
                <c:pt idx="1">
                  <c:v>41.67</c:v>
                </c:pt>
                <c:pt idx="2">
                  <c:v>46.67</c:v>
                </c:pt>
                <c:pt idx="3">
                  <c:v>51.67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68-45F2-9722-1573CCD5F31A}"/>
            </c:ext>
          </c:extLst>
        </c:ser>
        <c:ser>
          <c:idx val="2"/>
          <c:order val="2"/>
          <c:tx>
            <c:strRef>
              <c:f>'FIGURE 6, 10mm'!$D$12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strRef>
              <c:f>'FIGURE 6, 10mm'!$A$13:$A$17</c:f>
              <c:strCache>
                <c:ptCount val="5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Formulas</c:v>
                </c:pt>
              </c:strCache>
            </c:strRef>
          </c:xVal>
          <c:yVal>
            <c:numRef>
              <c:f>'FIGURE 6, 10mm'!$D$13:$D$17</c:f>
              <c:numCache>
                <c:formatCode>General</c:formatCode>
                <c:ptCount val="5"/>
                <c:pt idx="0">
                  <c:v>31.670400000000001</c:v>
                </c:pt>
                <c:pt idx="1">
                  <c:v>35.003799999999998</c:v>
                </c:pt>
                <c:pt idx="2">
                  <c:v>38.337200000000003</c:v>
                </c:pt>
                <c:pt idx="3">
                  <c:v>41.6706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68-45F2-9722-1573CCD5F31A}"/>
            </c:ext>
          </c:extLst>
        </c:ser>
        <c:ser>
          <c:idx val="3"/>
          <c:order val="3"/>
          <c:tx>
            <c:strRef>
              <c:f>'FIGURE 6, 10mm'!$E$12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strRef>
              <c:f>'FIGURE 6, 10mm'!$A$13:$A$17</c:f>
              <c:strCache>
                <c:ptCount val="5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Formulas</c:v>
                </c:pt>
              </c:strCache>
            </c:strRef>
          </c:xVal>
          <c:yVal>
            <c:numRef>
              <c:f>'FIGURE 6, 10mm'!$E$13:$E$17</c:f>
              <c:numCache>
                <c:formatCode>General</c:formatCode>
                <c:ptCount val="5"/>
                <c:pt idx="0">
                  <c:v>25.5596</c:v>
                </c:pt>
                <c:pt idx="1">
                  <c:v>28.706200000000003</c:v>
                </c:pt>
                <c:pt idx="2">
                  <c:v>31.852800000000002</c:v>
                </c:pt>
                <c:pt idx="3">
                  <c:v>34.999400000000001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68-45F2-9722-1573CCD5F31A}"/>
            </c:ext>
          </c:extLst>
        </c:ser>
        <c:ser>
          <c:idx val="4"/>
          <c:order val="4"/>
          <c:tx>
            <c:strRef>
              <c:f>'FIGURE 6, 10mm'!$F$12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strRef>
              <c:f>'FIGURE 6, 10mm'!$A$13:$A$17</c:f>
              <c:strCache>
                <c:ptCount val="5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Formulas</c:v>
                </c:pt>
              </c:strCache>
            </c:strRef>
          </c:xVal>
          <c:yVal>
            <c:numRef>
              <c:f>'FIGURE 6, 10mm'!$F$13:$F$17</c:f>
              <c:numCache>
                <c:formatCode>General</c:formatCode>
                <c:ptCount val="5"/>
                <c:pt idx="0">
                  <c:v>22.779600000000002</c:v>
                </c:pt>
                <c:pt idx="1">
                  <c:v>25.186199999999999</c:v>
                </c:pt>
                <c:pt idx="2">
                  <c:v>27.592800000000004</c:v>
                </c:pt>
                <c:pt idx="3">
                  <c:v>29.999400000000001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68-45F2-9722-1573CCD5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57296"/>
        <c:axId val="1"/>
      </c:scatterChart>
      <c:valAx>
        <c:axId val="176795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</a:t>
                </a:r>
                <a:r>
                  <a:rPr lang="en-US" baseline="0"/>
                  <a:t> of fine aggregate (%)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572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10mm'!$H$12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10mm'!$G$13:$G$16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10mm'!$H$13:$H$16</c:f>
              <c:numCache>
                <c:formatCode>General</c:formatCode>
                <c:ptCount val="4"/>
                <c:pt idx="0">
                  <c:v>50</c:v>
                </c:pt>
                <c:pt idx="1">
                  <c:v>55.555</c:v>
                </c:pt>
                <c:pt idx="2">
                  <c:v>61.11</c:v>
                </c:pt>
                <c:pt idx="3">
                  <c:v>66.664999999999992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B6-4FDE-8083-6476018C586E}"/>
            </c:ext>
          </c:extLst>
        </c:ser>
        <c:ser>
          <c:idx val="1"/>
          <c:order val="1"/>
          <c:tx>
            <c:strRef>
              <c:f>'FIGURE 6, 10mm'!$I$12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10mm'!$G$13:$G$16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10mm'!$I$13:$I$16</c:f>
              <c:numCache>
                <c:formatCode>General</c:formatCode>
                <c:ptCount val="4"/>
                <c:pt idx="0">
                  <c:v>38.33</c:v>
                </c:pt>
                <c:pt idx="1">
                  <c:v>43.61</c:v>
                </c:pt>
                <c:pt idx="2">
                  <c:v>48.89</c:v>
                </c:pt>
                <c:pt idx="3">
                  <c:v>54.17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B6-4FDE-8083-6476018C586E}"/>
            </c:ext>
          </c:extLst>
        </c:ser>
        <c:ser>
          <c:idx val="2"/>
          <c:order val="2"/>
          <c:tx>
            <c:strRef>
              <c:f>'FIGURE 6, 10mm'!$J$12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10mm'!$G$13:$G$16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10mm'!$J$13:$J$16</c:f>
              <c:numCache>
                <c:formatCode>General</c:formatCode>
                <c:ptCount val="4"/>
                <c:pt idx="0">
                  <c:v>32.78</c:v>
                </c:pt>
                <c:pt idx="1">
                  <c:v>36.39</c:v>
                </c:pt>
                <c:pt idx="2">
                  <c:v>40</c:v>
                </c:pt>
                <c:pt idx="3">
                  <c:v>43.61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B6-4FDE-8083-6476018C586E}"/>
            </c:ext>
          </c:extLst>
        </c:ser>
        <c:ser>
          <c:idx val="3"/>
          <c:order val="3"/>
          <c:tx>
            <c:strRef>
              <c:f>'FIGURE 6, 10mm'!$K$12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10mm'!$G$13:$G$16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10mm'!$K$13:$K$16</c:f>
              <c:numCache>
                <c:formatCode>General</c:formatCode>
                <c:ptCount val="4"/>
                <c:pt idx="0">
                  <c:v>27.78</c:v>
                </c:pt>
                <c:pt idx="1">
                  <c:v>30.555</c:v>
                </c:pt>
                <c:pt idx="2">
                  <c:v>33.33</c:v>
                </c:pt>
                <c:pt idx="3">
                  <c:v>36.105000000000004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B6-4FDE-8083-6476018C586E}"/>
            </c:ext>
          </c:extLst>
        </c:ser>
        <c:ser>
          <c:idx val="4"/>
          <c:order val="4"/>
          <c:tx>
            <c:strRef>
              <c:f>'FIGURE 6, 10mm'!$L$12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10mm'!$G$13:$G$16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10mm'!$L$13:$L$16</c:f>
              <c:numCache>
                <c:formatCode>General</c:formatCode>
                <c:ptCount val="4"/>
                <c:pt idx="0">
                  <c:v>23.89</c:v>
                </c:pt>
                <c:pt idx="1">
                  <c:v>26.110000000000003</c:v>
                </c:pt>
                <c:pt idx="2">
                  <c:v>28.330000000000002</c:v>
                </c:pt>
                <c:pt idx="3">
                  <c:v>30.550000000000004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B6-4FDE-8083-6476018C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92256"/>
        <c:axId val="1"/>
      </c:scatterChart>
      <c:valAx>
        <c:axId val="177069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9225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S2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10mm'!$O$12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10mm'!$N$13:$N$16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10mm'!$O$13:$O$16</c:f>
              <c:numCache>
                <c:formatCode>General</c:formatCode>
                <c:ptCount val="4"/>
                <c:pt idx="0">
                  <c:v>55</c:v>
                </c:pt>
                <c:pt idx="1">
                  <c:v>60</c:v>
                </c:pt>
                <c:pt idx="2">
                  <c:v>65</c:v>
                </c:pt>
                <c:pt idx="3">
                  <c:v>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06-4D36-B404-20894CD7D3A1}"/>
            </c:ext>
          </c:extLst>
        </c:ser>
        <c:ser>
          <c:idx val="1"/>
          <c:order val="1"/>
          <c:tx>
            <c:strRef>
              <c:f>'FIGURE 6, 10mm'!$P$12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10mm'!$N$13:$N$16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10mm'!$P$13:$P$16</c:f>
              <c:numCache>
                <c:formatCode>General</c:formatCode>
                <c:ptCount val="4"/>
                <c:pt idx="0">
                  <c:v>42.22</c:v>
                </c:pt>
                <c:pt idx="1">
                  <c:v>46.480000000000004</c:v>
                </c:pt>
                <c:pt idx="2">
                  <c:v>50.74</c:v>
                </c:pt>
                <c:pt idx="3">
                  <c:v>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06-4D36-B404-20894CD7D3A1}"/>
            </c:ext>
          </c:extLst>
        </c:ser>
        <c:ser>
          <c:idx val="2"/>
          <c:order val="2"/>
          <c:tx>
            <c:strRef>
              <c:f>'FIGURE 6, 10mm'!$Q$12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10mm'!$N$13:$N$16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10mm'!$Q$13:$Q$16</c:f>
              <c:numCache>
                <c:formatCode>General</c:formatCode>
                <c:ptCount val="4"/>
                <c:pt idx="0">
                  <c:v>36.669600000000003</c:v>
                </c:pt>
                <c:pt idx="1">
                  <c:v>39.446200000000005</c:v>
                </c:pt>
                <c:pt idx="2">
                  <c:v>42.222799999999999</c:v>
                </c:pt>
                <c:pt idx="3">
                  <c:v>44.999400000000001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06-4D36-B404-20894CD7D3A1}"/>
            </c:ext>
          </c:extLst>
        </c:ser>
        <c:ser>
          <c:idx val="3"/>
          <c:order val="3"/>
          <c:tx>
            <c:strRef>
              <c:f>'FIGURE 6, 10mm'!$R$12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10mm'!$N$13:$N$16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10mm'!$R$13:$R$16</c:f>
              <c:numCache>
                <c:formatCode>General</c:formatCode>
                <c:ptCount val="4"/>
                <c:pt idx="0">
                  <c:v>29.999600000000001</c:v>
                </c:pt>
                <c:pt idx="1">
                  <c:v>32.776200000000003</c:v>
                </c:pt>
                <c:pt idx="2">
                  <c:v>35.552799999999998</c:v>
                </c:pt>
                <c:pt idx="3">
                  <c:v>38.3294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06-4D36-B404-20894CD7D3A1}"/>
            </c:ext>
          </c:extLst>
        </c:ser>
        <c:ser>
          <c:idx val="4"/>
          <c:order val="4"/>
          <c:tx>
            <c:strRef>
              <c:f>'FIGURE 6, 10mm'!$S$12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10mm'!$N$13:$N$16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10mm'!$S$13:$S$16</c:f>
              <c:numCache>
                <c:formatCode>General</c:formatCode>
                <c:ptCount val="4"/>
                <c:pt idx="0">
                  <c:v>24.999600000000001</c:v>
                </c:pt>
                <c:pt idx="1">
                  <c:v>27.776199999999999</c:v>
                </c:pt>
                <c:pt idx="2">
                  <c:v>30.552799999999998</c:v>
                </c:pt>
                <c:pt idx="3">
                  <c:v>33.3294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06-4D36-B404-20894CD7D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85600"/>
        <c:axId val="1"/>
      </c:scatterChart>
      <c:valAx>
        <c:axId val="17706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856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10mm'!$V$12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10mm'!$U$13:$U$16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10mm'!$V$13:$V$16</c:f>
              <c:numCache>
                <c:formatCode>General</c:formatCode>
                <c:ptCount val="4"/>
                <c:pt idx="0">
                  <c:v>61.1096</c:v>
                </c:pt>
                <c:pt idx="1">
                  <c:v>66.666200000000003</c:v>
                </c:pt>
                <c:pt idx="2">
                  <c:v>72.222800000000007</c:v>
                </c:pt>
                <c:pt idx="3">
                  <c:v>77.779399999999995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F-46CB-B832-A434DEC92609}"/>
            </c:ext>
          </c:extLst>
        </c:ser>
        <c:ser>
          <c:idx val="1"/>
          <c:order val="1"/>
          <c:tx>
            <c:strRef>
              <c:f>'FIGURE 6, 10mm'!$W$12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10mm'!$U$13:$U$16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10mm'!$W$13:$W$16</c:f>
              <c:numCache>
                <c:formatCode>General</c:formatCode>
                <c:ptCount val="4"/>
                <c:pt idx="0">
                  <c:v>48.330000000000005</c:v>
                </c:pt>
                <c:pt idx="1">
                  <c:v>52.96</c:v>
                </c:pt>
                <c:pt idx="2">
                  <c:v>57.59</c:v>
                </c:pt>
                <c:pt idx="3">
                  <c:v>62.22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3F-46CB-B832-A434DEC92609}"/>
            </c:ext>
          </c:extLst>
        </c:ser>
        <c:ser>
          <c:idx val="2"/>
          <c:order val="2"/>
          <c:tx>
            <c:strRef>
              <c:f>'FIGURE 6, 10mm'!$X$12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0.18886576677915259"/>
                  <c:y val="2.2523970218008463E-4"/>
                </c:manualLayout>
              </c:layout>
              <c:numFmt formatCode="General" sourceLinked="0"/>
            </c:trendlineLbl>
          </c:trendline>
          <c:xVal>
            <c:numRef>
              <c:f>'FIGURE 6, 10mm'!$U$13:$U$16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10mm'!$X$13:$X$16</c:f>
              <c:numCache>
                <c:formatCode>General</c:formatCode>
                <c:ptCount val="4"/>
                <c:pt idx="0">
                  <c:v>40.000399999999999</c:v>
                </c:pt>
                <c:pt idx="1">
                  <c:v>43.333800000000004</c:v>
                </c:pt>
                <c:pt idx="2">
                  <c:v>46.667200000000008</c:v>
                </c:pt>
                <c:pt idx="3">
                  <c:v>50.000600000000006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3F-46CB-B832-A434DEC92609}"/>
            </c:ext>
          </c:extLst>
        </c:ser>
        <c:ser>
          <c:idx val="3"/>
          <c:order val="3"/>
          <c:tx>
            <c:strRef>
              <c:f>'FIGURE 6, 10mm'!$Y$12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10mm'!$U$13:$U$16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10mm'!$Y$13:$Y$16</c:f>
              <c:numCache>
                <c:formatCode>General</c:formatCode>
                <c:ptCount val="4"/>
                <c:pt idx="0">
                  <c:v>33.33</c:v>
                </c:pt>
                <c:pt idx="1">
                  <c:v>36.11</c:v>
                </c:pt>
                <c:pt idx="2">
                  <c:v>38.89</c:v>
                </c:pt>
                <c:pt idx="3">
                  <c:v>41.67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3F-46CB-B832-A434DEC92609}"/>
            </c:ext>
          </c:extLst>
        </c:ser>
        <c:ser>
          <c:idx val="4"/>
          <c:order val="4"/>
          <c:tx>
            <c:strRef>
              <c:f>'FIGURE 6, 10mm'!$Z$12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10mm'!$U$13:$U$16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10mm'!$Z$13:$Z$16</c:f>
              <c:numCache>
                <c:formatCode>General</c:formatCode>
                <c:ptCount val="4"/>
                <c:pt idx="0">
                  <c:v>28.330399999999997</c:v>
                </c:pt>
                <c:pt idx="1">
                  <c:v>30.9238</c:v>
                </c:pt>
                <c:pt idx="2">
                  <c:v>33.517200000000003</c:v>
                </c:pt>
                <c:pt idx="3">
                  <c:v>36.110599999999998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3F-46CB-B832-A434DEC92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93920"/>
        <c:axId val="1"/>
      </c:scatterChart>
      <c:valAx>
        <c:axId val="1770693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939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20mm'!$B$1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20mm'!$B$2:$B$5</c:f>
              <c:numCache>
                <c:formatCode>General</c:formatCode>
                <c:ptCount val="4"/>
                <c:pt idx="0">
                  <c:v>34.46</c:v>
                </c:pt>
                <c:pt idx="1">
                  <c:v>40.010000000000005</c:v>
                </c:pt>
                <c:pt idx="2">
                  <c:v>45.56</c:v>
                </c:pt>
                <c:pt idx="3">
                  <c:v>51.11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FE-490F-9FC9-B82A972B0D00}"/>
            </c:ext>
          </c:extLst>
        </c:ser>
        <c:ser>
          <c:idx val="1"/>
          <c:order val="1"/>
          <c:tx>
            <c:strRef>
              <c:f>'FIGURE 6, 20mm'!$C$1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20mm'!$C$2:$C$5</c:f>
              <c:numCache>
                <c:formatCode>General</c:formatCode>
                <c:ptCount val="4"/>
                <c:pt idx="0">
                  <c:v>28.330000000000002</c:v>
                </c:pt>
                <c:pt idx="1">
                  <c:v>32.22</c:v>
                </c:pt>
                <c:pt idx="2">
                  <c:v>36.11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FE-490F-9FC9-B82A972B0D00}"/>
            </c:ext>
          </c:extLst>
        </c:ser>
        <c:ser>
          <c:idx val="2"/>
          <c:order val="2"/>
          <c:tx>
            <c:strRef>
              <c:f>'FIGURE 6, 20mm'!$D$1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20mm'!$D$2:$D$5</c:f>
              <c:numCache>
                <c:formatCode>General</c:formatCode>
                <c:ptCount val="4"/>
                <c:pt idx="0">
                  <c:v>23.340000000000003</c:v>
                </c:pt>
                <c:pt idx="1">
                  <c:v>26.67</c:v>
                </c:pt>
                <c:pt idx="2">
                  <c:v>30</c:v>
                </c:pt>
                <c:pt idx="3">
                  <c:v>33.33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FE-490F-9FC9-B82A972B0D00}"/>
            </c:ext>
          </c:extLst>
        </c:ser>
        <c:ser>
          <c:idx val="3"/>
          <c:order val="3"/>
          <c:tx>
            <c:strRef>
              <c:f>'FIGURE 6, 20mm'!$E$1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20mm'!$E$2:$E$5</c:f>
              <c:numCache>
                <c:formatCode>General</c:formatCode>
                <c:ptCount val="4"/>
                <c:pt idx="0">
                  <c:v>19.440000000000001</c:v>
                </c:pt>
                <c:pt idx="1">
                  <c:v>22.22</c:v>
                </c:pt>
                <c:pt idx="2">
                  <c:v>25</c:v>
                </c:pt>
                <c:pt idx="3">
                  <c:v>27.78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FE-490F-9FC9-B82A972B0D00}"/>
            </c:ext>
          </c:extLst>
        </c:ser>
        <c:ser>
          <c:idx val="4"/>
          <c:order val="4"/>
          <c:tx>
            <c:strRef>
              <c:f>'FIGURE 6, 20mm'!$F$1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20mm'!$F$2:$F$5</c:f>
              <c:numCache>
                <c:formatCode>General</c:formatCode>
                <c:ptCount val="4"/>
                <c:pt idx="0">
                  <c:v>16.669999999999998</c:v>
                </c:pt>
                <c:pt idx="1">
                  <c:v>18.89</c:v>
                </c:pt>
                <c:pt idx="2">
                  <c:v>21.11</c:v>
                </c:pt>
                <c:pt idx="3">
                  <c:v>23.33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0FE-490F-9FC9-B82A972B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97664"/>
        <c:axId val="1"/>
      </c:scatterChart>
      <c:valAx>
        <c:axId val="177069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976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20mm'!$I$1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20mm'!$I$2:$I$5</c:f>
              <c:numCache>
                <c:formatCode>General</c:formatCode>
                <c:ptCount val="4"/>
                <c:pt idx="0">
                  <c:v>37.2196</c:v>
                </c:pt>
                <c:pt idx="1">
                  <c:v>42.776200000000003</c:v>
                </c:pt>
                <c:pt idx="2">
                  <c:v>48.332800000000006</c:v>
                </c:pt>
                <c:pt idx="3">
                  <c:v>53.889400000000002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1-4592-AF92-ECE881454D8B}"/>
            </c:ext>
          </c:extLst>
        </c:ser>
        <c:ser>
          <c:idx val="1"/>
          <c:order val="1"/>
          <c:tx>
            <c:strRef>
              <c:f>'FIGURE 6, 20mm'!$J$1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0.16596574188557009"/>
                  <c:y val="-1.8635170603674542E-3"/>
                </c:manualLayout>
              </c:layout>
              <c:numFmt formatCode="General" sourceLinked="0"/>
            </c:trendlineLbl>
          </c:trendline>
          <c:xVal>
            <c:numRef>
              <c:f>'FIGURE 6, 20mm'!$H$2:$H$5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20mm'!$J$2:$J$5</c:f>
              <c:numCache>
                <c:formatCode>General</c:formatCode>
                <c:ptCount val="4"/>
                <c:pt idx="0">
                  <c:v>30</c:v>
                </c:pt>
                <c:pt idx="1">
                  <c:v>34.26</c:v>
                </c:pt>
                <c:pt idx="2">
                  <c:v>38.520000000000003</c:v>
                </c:pt>
                <c:pt idx="3">
                  <c:v>42.78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A1-4592-AF92-ECE881454D8B}"/>
            </c:ext>
          </c:extLst>
        </c:ser>
        <c:ser>
          <c:idx val="2"/>
          <c:order val="2"/>
          <c:tx>
            <c:strRef>
              <c:f>'FIGURE 6, 20mm'!$K$1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20mm'!$K$2:$K$5</c:f>
              <c:numCache>
                <c:formatCode>General</c:formatCode>
                <c:ptCount val="4"/>
                <c:pt idx="0">
                  <c:v>25.000400000000003</c:v>
                </c:pt>
                <c:pt idx="1">
                  <c:v>28.333800000000004</c:v>
                </c:pt>
                <c:pt idx="2">
                  <c:v>31.667200000000005</c:v>
                </c:pt>
                <c:pt idx="3">
                  <c:v>35.000600000000006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A1-4592-AF92-ECE881454D8B}"/>
            </c:ext>
          </c:extLst>
        </c:ser>
        <c:ser>
          <c:idx val="3"/>
          <c:order val="3"/>
          <c:tx>
            <c:strRef>
              <c:f>'FIGURE 6, 20mm'!$L$1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20mm'!$L$2:$L$5</c:f>
              <c:numCache>
                <c:formatCode>General</c:formatCode>
                <c:ptCount val="4"/>
                <c:pt idx="0">
                  <c:v>20.000400000000003</c:v>
                </c:pt>
                <c:pt idx="1">
                  <c:v>23.333800000000004</c:v>
                </c:pt>
                <c:pt idx="2">
                  <c:v>26.667200000000005</c:v>
                </c:pt>
                <c:pt idx="3">
                  <c:v>30.000600000000006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A1-4592-AF92-ECE881454D8B}"/>
            </c:ext>
          </c:extLst>
        </c:ser>
        <c:ser>
          <c:idx val="4"/>
          <c:order val="4"/>
          <c:tx>
            <c:strRef>
              <c:f>'FIGURE 6, 20mm'!$M$1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2.3486113822549042E-2"/>
                  <c:y val="0.10678111456998107"/>
                </c:manualLayout>
              </c:layout>
              <c:numFmt formatCode="General" sourceLinked="0"/>
            </c:trendlineLbl>
          </c:trendline>
          <c:xVal>
            <c:numRef>
              <c:f>'FIGURE 6, 20mm'!$H$2:$H$5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20mm'!$M$2:$M$5</c:f>
              <c:numCache>
                <c:formatCode>General</c:formatCode>
                <c:ptCount val="4"/>
                <c:pt idx="0">
                  <c:v>17.779599999999999</c:v>
                </c:pt>
                <c:pt idx="1">
                  <c:v>20.186199999999999</c:v>
                </c:pt>
                <c:pt idx="2">
                  <c:v>22.5928</c:v>
                </c:pt>
                <c:pt idx="3">
                  <c:v>24.999400000000001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A1-4592-AF92-ECE881454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89760"/>
        <c:axId val="1"/>
      </c:scatterChart>
      <c:valAx>
        <c:axId val="177068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897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S2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20mm'!$P$1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20mm'!$P$2:$P$5</c:f>
              <c:numCache>
                <c:formatCode>General</c:formatCode>
                <c:ptCount val="4"/>
                <c:pt idx="0">
                  <c:v>41.11</c:v>
                </c:pt>
                <c:pt idx="1">
                  <c:v>46.664999999999999</c:v>
                </c:pt>
                <c:pt idx="2">
                  <c:v>52.22</c:v>
                </c:pt>
                <c:pt idx="3">
                  <c:v>57.774999999999999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0-4364-B2ED-14629C0A64BC}"/>
            </c:ext>
          </c:extLst>
        </c:ser>
        <c:ser>
          <c:idx val="1"/>
          <c:order val="1"/>
          <c:tx>
            <c:strRef>
              <c:f>'FIGURE 6, 20mm'!$Q$1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20mm'!$Q$2:$Q$5</c:f>
              <c:numCache>
                <c:formatCode>General</c:formatCode>
                <c:ptCount val="4"/>
                <c:pt idx="0">
                  <c:v>32.22</c:v>
                </c:pt>
                <c:pt idx="1">
                  <c:v>36.664999999999999</c:v>
                </c:pt>
                <c:pt idx="2">
                  <c:v>41.11</c:v>
                </c:pt>
                <c:pt idx="3">
                  <c:v>45.555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0-4364-B2ED-14629C0A64BC}"/>
            </c:ext>
          </c:extLst>
        </c:ser>
        <c:ser>
          <c:idx val="2"/>
          <c:order val="2"/>
          <c:tx>
            <c:strRef>
              <c:f>'FIGURE 6, 20mm'!$R$1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20mm'!$R$2:$R$5</c:f>
              <c:numCache>
                <c:formatCode>General</c:formatCode>
                <c:ptCount val="4"/>
                <c:pt idx="0">
                  <c:v>27.78</c:v>
                </c:pt>
                <c:pt idx="1">
                  <c:v>31.11</c:v>
                </c:pt>
                <c:pt idx="2">
                  <c:v>34.44</c:v>
                </c:pt>
                <c:pt idx="3">
                  <c:v>37.769999999999996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0-4364-B2ED-14629C0A64BC}"/>
            </c:ext>
          </c:extLst>
        </c:ser>
        <c:ser>
          <c:idx val="3"/>
          <c:order val="3"/>
          <c:tx>
            <c:strRef>
              <c:f>'FIGURE 6, 20mm'!$S$1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6.856405519142509E-4"/>
                  <c:y val="1.1285424764942356E-2"/>
                </c:manualLayout>
              </c:layout>
              <c:numFmt formatCode="General" sourceLinked="0"/>
            </c:trendlineLbl>
          </c:trendline>
          <c:xVal>
            <c:numRef>
              <c:f>'FIGURE 6, 20mm'!$O$2:$O$5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20mm'!$S$2:$S$5</c:f>
              <c:numCache>
                <c:formatCode>General</c:formatCode>
                <c:ptCount val="4"/>
                <c:pt idx="0">
                  <c:v>23.330000000000002</c:v>
                </c:pt>
                <c:pt idx="1">
                  <c:v>26.11</c:v>
                </c:pt>
                <c:pt idx="2">
                  <c:v>28.89</c:v>
                </c:pt>
                <c:pt idx="3">
                  <c:v>31.67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10-4364-B2ED-14629C0A64BC}"/>
            </c:ext>
          </c:extLst>
        </c:ser>
        <c:ser>
          <c:idx val="4"/>
          <c:order val="4"/>
          <c:tx>
            <c:strRef>
              <c:f>'FIGURE 6, 20mm'!$T$1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20mm'!$T$2:$T$5</c:f>
              <c:numCache>
                <c:formatCode>General</c:formatCode>
                <c:ptCount val="4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10-4364-B2ED-14629C0A6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82272"/>
        <c:axId val="1"/>
      </c:scatterChart>
      <c:valAx>
        <c:axId val="177068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822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20mm'!$W$1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20mm'!$W$2:$W$5</c:f>
              <c:numCache>
                <c:formatCode>General</c:formatCode>
                <c:ptCount val="4"/>
                <c:pt idx="0">
                  <c:v>47.774999999999999</c:v>
                </c:pt>
                <c:pt idx="1">
                  <c:v>53.33</c:v>
                </c:pt>
                <c:pt idx="2">
                  <c:v>58.885000000000005</c:v>
                </c:pt>
                <c:pt idx="3">
                  <c:v>64.44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95-45A6-9CE7-8F674CDAE731}"/>
            </c:ext>
          </c:extLst>
        </c:ser>
        <c:ser>
          <c:idx val="1"/>
          <c:order val="1"/>
          <c:tx>
            <c:strRef>
              <c:f>'FIGURE 6, 20mm'!$X$1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20mm'!$X$2:$X$5</c:f>
              <c:numCache>
                <c:formatCode>General</c:formatCode>
                <c:ptCount val="4"/>
                <c:pt idx="0">
                  <c:v>37.774999999999999</c:v>
                </c:pt>
                <c:pt idx="1">
                  <c:v>42.22</c:v>
                </c:pt>
                <c:pt idx="2">
                  <c:v>46.664999999999999</c:v>
                </c:pt>
                <c:pt idx="3">
                  <c:v>51.11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95-45A6-9CE7-8F674CDAE731}"/>
            </c:ext>
          </c:extLst>
        </c:ser>
        <c:ser>
          <c:idx val="2"/>
          <c:order val="2"/>
          <c:tx>
            <c:strRef>
              <c:f>'FIGURE 6, 20mm'!$Y$1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20mm'!$Y$2:$Y$5</c:f>
              <c:numCache>
                <c:formatCode>General</c:formatCode>
                <c:ptCount val="4"/>
                <c:pt idx="0">
                  <c:v>30.55</c:v>
                </c:pt>
                <c:pt idx="1">
                  <c:v>34.44</c:v>
                </c:pt>
                <c:pt idx="2">
                  <c:v>38.33</c:v>
                </c:pt>
                <c:pt idx="3">
                  <c:v>42.22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95-45A6-9CE7-8F674CDAE731}"/>
            </c:ext>
          </c:extLst>
        </c:ser>
        <c:ser>
          <c:idx val="3"/>
          <c:order val="3"/>
          <c:tx>
            <c:strRef>
              <c:f>'FIGURE 6, 20mm'!$Z$1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20mm'!$Z$2:$Z$5</c:f>
              <c:numCache>
                <c:formatCode>General</c:formatCode>
                <c:ptCount val="4"/>
                <c:pt idx="0">
                  <c:v>25.555</c:v>
                </c:pt>
                <c:pt idx="1">
                  <c:v>28.89</c:v>
                </c:pt>
                <c:pt idx="2">
                  <c:v>32.225000000000001</c:v>
                </c:pt>
                <c:pt idx="3">
                  <c:v>35.56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95-45A6-9CE7-8F674CDAE731}"/>
            </c:ext>
          </c:extLst>
        </c:ser>
        <c:ser>
          <c:idx val="4"/>
          <c:order val="4"/>
          <c:tx>
            <c:strRef>
              <c:f>'FIGURE 6, 20mm'!$AA$1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20mm'!$V$2:$V$5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20mm'!$AA$2:$AA$5</c:f>
              <c:numCache>
                <c:formatCode>General</c:formatCode>
                <c:ptCount val="4"/>
                <c:pt idx="0">
                  <c:v>21.945</c:v>
                </c:pt>
                <c:pt idx="1">
                  <c:v>25</c:v>
                </c:pt>
                <c:pt idx="2">
                  <c:v>28.055</c:v>
                </c:pt>
                <c:pt idx="3">
                  <c:v>31.11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95-45A6-9CE7-8F674CDAE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87264"/>
        <c:axId val="1"/>
      </c:scatterChart>
      <c:valAx>
        <c:axId val="17706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872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40mm'!$B$1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40mm'!$B$2:$B$5</c:f>
              <c:numCache>
                <c:formatCode>General</c:formatCode>
                <c:ptCount val="4"/>
                <c:pt idx="0">
                  <c:v>27.78</c:v>
                </c:pt>
                <c:pt idx="1">
                  <c:v>33.150000000000006</c:v>
                </c:pt>
                <c:pt idx="2">
                  <c:v>38.520000000000003</c:v>
                </c:pt>
                <c:pt idx="3">
                  <c:v>43.89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1-4C5F-9270-C1CE30832243}"/>
            </c:ext>
          </c:extLst>
        </c:ser>
        <c:ser>
          <c:idx val="1"/>
          <c:order val="1"/>
          <c:tx>
            <c:strRef>
              <c:f>'FIGURE 6, 40mm'!$C$1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40mm'!$C$2:$C$5</c:f>
              <c:numCache>
                <c:formatCode>General</c:formatCode>
                <c:ptCount val="4"/>
                <c:pt idx="0">
                  <c:v>21.11</c:v>
                </c:pt>
                <c:pt idx="1">
                  <c:v>26.11</c:v>
                </c:pt>
                <c:pt idx="2">
                  <c:v>31.11</c:v>
                </c:pt>
                <c:pt idx="3">
                  <c:v>36.11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1-4C5F-9270-C1CE30832243}"/>
            </c:ext>
          </c:extLst>
        </c:ser>
        <c:ser>
          <c:idx val="2"/>
          <c:order val="2"/>
          <c:tx>
            <c:strRef>
              <c:f>'FIGURE 6, 40mm'!$D$1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40mm'!$D$2:$D$5</c:f>
              <c:numCache>
                <c:formatCode>General</c:formatCode>
                <c:ptCount val="4"/>
                <c:pt idx="0">
                  <c:v>17.779599999999999</c:v>
                </c:pt>
                <c:pt idx="1">
                  <c:v>21.296199999999999</c:v>
                </c:pt>
                <c:pt idx="2">
                  <c:v>24.812800000000003</c:v>
                </c:pt>
                <c:pt idx="3">
                  <c:v>28.3294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1-4C5F-9270-C1CE30832243}"/>
            </c:ext>
          </c:extLst>
        </c:ser>
        <c:ser>
          <c:idx val="3"/>
          <c:order val="3"/>
          <c:tx>
            <c:strRef>
              <c:f>'FIGURE 6, 40mm'!$E$1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0.2007355046528275"/>
                  <c:y val="-2.1682920368898843E-2"/>
                </c:manualLayout>
              </c:layout>
              <c:numFmt formatCode="General" sourceLinked="0"/>
            </c:trendlineLbl>
          </c:trendline>
          <c:xVal>
            <c:numRef>
              <c:f>'FIGURE 6, 40mm'!$A$2:$A$5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40mm'!$E$2:$E$5</c:f>
              <c:numCache>
                <c:formatCode>General</c:formatCode>
                <c:ptCount val="4"/>
                <c:pt idx="0">
                  <c:v>15.000400000000001</c:v>
                </c:pt>
                <c:pt idx="1">
                  <c:v>17.963799999999999</c:v>
                </c:pt>
                <c:pt idx="2">
                  <c:v>20.927200000000003</c:v>
                </c:pt>
                <c:pt idx="3">
                  <c:v>23.890599999999999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21-4C5F-9270-C1CE30832243}"/>
            </c:ext>
          </c:extLst>
        </c:ser>
        <c:ser>
          <c:idx val="4"/>
          <c:order val="4"/>
          <c:tx>
            <c:strRef>
              <c:f>'FIGURE 6, 40mm'!$F$1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40mm'!$A$2:$A$5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40mm'!$F$2:$F$5</c:f>
              <c:numCache>
                <c:formatCode>General</c:formatCode>
                <c:ptCount val="4"/>
                <c:pt idx="0">
                  <c:v>12.220400000000001</c:v>
                </c:pt>
                <c:pt idx="1">
                  <c:v>14.813800000000001</c:v>
                </c:pt>
                <c:pt idx="2">
                  <c:v>17.407200000000003</c:v>
                </c:pt>
                <c:pt idx="3">
                  <c:v>20.000600000000002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421-4C5F-9270-C1CE30832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90176"/>
        <c:axId val="1"/>
      </c:scatterChart>
      <c:valAx>
        <c:axId val="17706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9017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S1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40mm'!$I$1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40mm'!$I$2:$I$5</c:f>
              <c:numCache>
                <c:formatCode>General</c:formatCode>
                <c:ptCount val="4"/>
                <c:pt idx="0">
                  <c:v>29.999600000000001</c:v>
                </c:pt>
                <c:pt idx="1">
                  <c:v>35.556200000000004</c:v>
                </c:pt>
                <c:pt idx="2">
                  <c:v>41.112800000000007</c:v>
                </c:pt>
                <c:pt idx="3">
                  <c:v>46.669400000000003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2-4D4A-B6E6-9935AB27E4AA}"/>
            </c:ext>
          </c:extLst>
        </c:ser>
        <c:ser>
          <c:idx val="1"/>
          <c:order val="1"/>
          <c:tx>
            <c:strRef>
              <c:f>'FIGURE 6, 40mm'!$J$1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6.4233627423078143E-2"/>
                  <c:y val="5.8551621444670413E-3"/>
                </c:manualLayout>
              </c:layout>
              <c:numFmt formatCode="General" sourceLinked="0"/>
            </c:trendlineLbl>
          </c:trendline>
          <c:xVal>
            <c:numRef>
              <c:f>'FIGURE 6, 40mm'!$H$2:$H$5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40mm'!$J$2:$J$5</c:f>
              <c:numCache>
                <c:formatCode>General</c:formatCode>
                <c:ptCount val="4"/>
                <c:pt idx="0">
                  <c:v>23.329600000000003</c:v>
                </c:pt>
                <c:pt idx="1">
                  <c:v>28.1462</c:v>
                </c:pt>
                <c:pt idx="2">
                  <c:v>32.962800000000001</c:v>
                </c:pt>
                <c:pt idx="3">
                  <c:v>37.779400000000003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C2-4D4A-B6E6-9935AB27E4AA}"/>
            </c:ext>
          </c:extLst>
        </c:ser>
        <c:ser>
          <c:idx val="2"/>
          <c:order val="2"/>
          <c:tx>
            <c:strRef>
              <c:f>'FIGURE 6, 40mm'!$K$1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40mm'!$K$2:$K$5</c:f>
              <c:numCache>
                <c:formatCode>General</c:formatCode>
                <c:ptCount val="4"/>
                <c:pt idx="0">
                  <c:v>20.000400000000003</c:v>
                </c:pt>
                <c:pt idx="1">
                  <c:v>23.333800000000004</c:v>
                </c:pt>
                <c:pt idx="2">
                  <c:v>26.667200000000005</c:v>
                </c:pt>
                <c:pt idx="3">
                  <c:v>30.000600000000006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C2-4D4A-B6E6-9935AB27E4AA}"/>
            </c:ext>
          </c:extLst>
        </c:ser>
        <c:ser>
          <c:idx val="3"/>
          <c:order val="3"/>
          <c:tx>
            <c:strRef>
              <c:f>'FIGURE 6, 40mm'!$L$1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40mm'!$L$2:$L$5</c:f>
              <c:numCache>
                <c:formatCode>General</c:formatCode>
                <c:ptCount val="4"/>
                <c:pt idx="0">
                  <c:v>16.670000000000002</c:v>
                </c:pt>
                <c:pt idx="1">
                  <c:v>19.259999999999998</c:v>
                </c:pt>
                <c:pt idx="2">
                  <c:v>21.85</c:v>
                </c:pt>
                <c:pt idx="3">
                  <c:v>24.439999999999998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C2-4D4A-B6E6-9935AB27E4AA}"/>
            </c:ext>
          </c:extLst>
        </c:ser>
        <c:ser>
          <c:idx val="4"/>
          <c:order val="4"/>
          <c:tx>
            <c:strRef>
              <c:f>'FIGURE 6, 40mm'!$M$1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40mm'!$H$2:$H$5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40mm'!$M$2:$M$5</c:f>
              <c:numCache>
                <c:formatCode>General</c:formatCode>
                <c:ptCount val="4"/>
                <c:pt idx="0">
                  <c:v>14.999599999999999</c:v>
                </c:pt>
                <c:pt idx="1">
                  <c:v>17.036200000000001</c:v>
                </c:pt>
                <c:pt idx="2">
                  <c:v>19.072800000000001</c:v>
                </c:pt>
                <c:pt idx="3">
                  <c:v>21.109400000000001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3C2-4D4A-B6E6-9935AB27E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97248"/>
        <c:axId val="1"/>
      </c:scatterChart>
      <c:valAx>
        <c:axId val="177069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972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S2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40mm'!$P$1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6.6288671319736153E-3"/>
                  <c:y val="5.1612675932286988E-4"/>
                </c:manualLayout>
              </c:layout>
              <c:numFmt formatCode="General" sourceLinked="0"/>
            </c:trendlineLbl>
          </c:trendline>
          <c:xVal>
            <c:numRef>
              <c:f>'FIGURE 6, 40mm'!$O$2:$O$5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40mm'!$P$2:$P$5</c:f>
              <c:numCache>
                <c:formatCode>General</c:formatCode>
                <c:ptCount val="4"/>
                <c:pt idx="0">
                  <c:v>34.44</c:v>
                </c:pt>
                <c:pt idx="1">
                  <c:v>39.72</c:v>
                </c:pt>
                <c:pt idx="2">
                  <c:v>45</c:v>
                </c:pt>
                <c:pt idx="3">
                  <c:v>50.28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12-4686-B046-4572263E7D8F}"/>
            </c:ext>
          </c:extLst>
        </c:ser>
        <c:ser>
          <c:idx val="1"/>
          <c:order val="1"/>
          <c:tx>
            <c:strRef>
              <c:f>'FIGURE 6, 40mm'!$Q$1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40mm'!$Q$2:$Q$5</c:f>
              <c:numCache>
                <c:formatCode>General</c:formatCode>
                <c:ptCount val="4"/>
                <c:pt idx="0">
                  <c:v>28.330000000000002</c:v>
                </c:pt>
                <c:pt idx="1">
                  <c:v>32.22</c:v>
                </c:pt>
                <c:pt idx="2">
                  <c:v>36.11</c:v>
                </c:pt>
                <c:pt idx="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12-4686-B046-4572263E7D8F}"/>
            </c:ext>
          </c:extLst>
        </c:ser>
        <c:ser>
          <c:idx val="2"/>
          <c:order val="2"/>
          <c:tx>
            <c:strRef>
              <c:f>'FIGURE 6, 40mm'!$R$1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40mm'!$R$2:$R$5</c:f>
              <c:numCache>
                <c:formatCode>General</c:formatCode>
                <c:ptCount val="4"/>
                <c:pt idx="0">
                  <c:v>23.33</c:v>
                </c:pt>
                <c:pt idx="1">
                  <c:v>26.099999999999998</c:v>
                </c:pt>
                <c:pt idx="2">
                  <c:v>28.869999999999997</c:v>
                </c:pt>
                <c:pt idx="3">
                  <c:v>31.64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12-4686-B046-4572263E7D8F}"/>
            </c:ext>
          </c:extLst>
        </c:ser>
        <c:ser>
          <c:idx val="3"/>
          <c:order val="3"/>
          <c:tx>
            <c:strRef>
              <c:f>'FIGURE 6, 40mm'!$S$1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40mm'!$S$2:$S$5</c:f>
              <c:numCache>
                <c:formatCode>General</c:formatCode>
                <c:ptCount val="4"/>
                <c:pt idx="0">
                  <c:v>20</c:v>
                </c:pt>
                <c:pt idx="1">
                  <c:v>22.220000000000002</c:v>
                </c:pt>
                <c:pt idx="2">
                  <c:v>24.44</c:v>
                </c:pt>
                <c:pt idx="3">
                  <c:v>26.660000000000004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12-4686-B046-4572263E7D8F}"/>
            </c:ext>
          </c:extLst>
        </c:ser>
        <c:ser>
          <c:idx val="4"/>
          <c:order val="4"/>
          <c:tx>
            <c:strRef>
              <c:f>'FIGURE 6, 40mm'!$T$1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40mm'!$O$2:$O$5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40mm'!$T$2:$T$5</c:f>
              <c:numCache>
                <c:formatCode>General</c:formatCode>
                <c:ptCount val="4"/>
                <c:pt idx="0">
                  <c:v>16.669999999999998</c:v>
                </c:pt>
                <c:pt idx="1">
                  <c:v>18.89</c:v>
                </c:pt>
                <c:pt idx="2">
                  <c:v>21.11</c:v>
                </c:pt>
                <c:pt idx="3">
                  <c:v>23.33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712-4686-B046-4572263E7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87680"/>
        <c:axId val="1"/>
      </c:scatterChart>
      <c:valAx>
        <c:axId val="177068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876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'FIGURE 6, 40mm'!$W$1</c:f>
              <c:strCache>
                <c:ptCount val="1"/>
                <c:pt idx="0">
                  <c:v>15%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3.9409448818897635E-3"/>
                  <c:y val="8.4769995855781179E-3"/>
                </c:manualLayout>
              </c:layout>
              <c:numFmt formatCode="General" sourceLinked="0"/>
            </c:trendlineLbl>
          </c:trendline>
          <c:xVal>
            <c:numRef>
              <c:f>'FIGURE 6, 40mm'!$V$2:$V$5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40mm'!$W$2:$W$5</c:f>
              <c:numCache>
                <c:formatCode>General</c:formatCode>
                <c:ptCount val="4"/>
                <c:pt idx="0">
                  <c:v>40</c:v>
                </c:pt>
                <c:pt idx="1">
                  <c:v>46.11</c:v>
                </c:pt>
                <c:pt idx="2">
                  <c:v>52.22</c:v>
                </c:pt>
                <c:pt idx="3">
                  <c:v>58.33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6B-4883-B097-EDE177A3B05C}"/>
            </c:ext>
          </c:extLst>
        </c:ser>
        <c:ser>
          <c:idx val="1"/>
          <c:order val="1"/>
          <c:tx>
            <c:strRef>
              <c:f>'FIGURE 6, 40mm'!$X$1</c:f>
              <c:strCache>
                <c:ptCount val="1"/>
                <c:pt idx="0">
                  <c:v>40%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40mm'!$X$2:$X$5</c:f>
              <c:numCache>
                <c:formatCode>General</c:formatCode>
                <c:ptCount val="4"/>
                <c:pt idx="0">
                  <c:v>32.22</c:v>
                </c:pt>
                <c:pt idx="1">
                  <c:v>36.945</c:v>
                </c:pt>
                <c:pt idx="2">
                  <c:v>41.67</c:v>
                </c:pt>
                <c:pt idx="3">
                  <c:v>46.395000000000003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6B-4883-B097-EDE177A3B05C}"/>
            </c:ext>
          </c:extLst>
        </c:ser>
        <c:ser>
          <c:idx val="2"/>
          <c:order val="2"/>
          <c:tx>
            <c:strRef>
              <c:f>'FIGURE 6, 40mm'!$Y$1</c:f>
              <c:strCache>
                <c:ptCount val="1"/>
                <c:pt idx="0">
                  <c:v>60%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40mm'!$Y$2:$Y$5</c:f>
              <c:numCache>
                <c:formatCode>General</c:formatCode>
                <c:ptCount val="4"/>
                <c:pt idx="0">
                  <c:v>26.11</c:v>
                </c:pt>
                <c:pt idx="1">
                  <c:v>30</c:v>
                </c:pt>
                <c:pt idx="2">
                  <c:v>33.89</c:v>
                </c:pt>
                <c:pt idx="3">
                  <c:v>37.78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6B-4883-B097-EDE177A3B05C}"/>
            </c:ext>
          </c:extLst>
        </c:ser>
        <c:ser>
          <c:idx val="3"/>
          <c:order val="3"/>
          <c:tx>
            <c:strRef>
              <c:f>'FIGURE 6, 40mm'!$Z$1</c:f>
              <c:strCache>
                <c:ptCount val="1"/>
                <c:pt idx="0">
                  <c:v>80%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40mm'!$Z$2:$Z$5</c:f>
              <c:numCache>
                <c:formatCode>General</c:formatCode>
                <c:ptCount val="4"/>
                <c:pt idx="0">
                  <c:v>22.220000000000002</c:v>
                </c:pt>
                <c:pt idx="1">
                  <c:v>25.555000000000003</c:v>
                </c:pt>
                <c:pt idx="2">
                  <c:v>28.890000000000004</c:v>
                </c:pt>
                <c:pt idx="3">
                  <c:v>32.225000000000001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6B-4883-B097-EDE177A3B05C}"/>
            </c:ext>
          </c:extLst>
        </c:ser>
        <c:ser>
          <c:idx val="4"/>
          <c:order val="4"/>
          <c:tx>
            <c:strRef>
              <c:f>'FIGURE 6, 40mm'!$AA$1</c:f>
              <c:strCache>
                <c:ptCount val="1"/>
                <c:pt idx="0">
                  <c:v>100%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'FIGURE 6, 40mm'!$V$2:$V$5</c:f>
              <c:numCache>
                <c:formatCode>General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</c:numCache>
            </c:numRef>
          </c:xVal>
          <c:yVal>
            <c:numRef>
              <c:f>'FIGURE 6, 40mm'!$AA$2:$AA$5</c:f>
              <c:numCache>
                <c:formatCode>General</c:formatCode>
                <c:ptCount val="4"/>
                <c:pt idx="0">
                  <c:v>20</c:v>
                </c:pt>
                <c:pt idx="1">
                  <c:v>22.220000000000002</c:v>
                </c:pt>
                <c:pt idx="2">
                  <c:v>24.44</c:v>
                </c:pt>
                <c:pt idx="3">
                  <c:v>26.660000000000004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56B-4883-B097-EDE177A3B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85184"/>
        <c:axId val="1"/>
      </c:scatterChart>
      <c:valAx>
        <c:axId val="177068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Free-water/cement ratio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Proportion of fine aggregate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68518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24</xdr:row>
      <xdr:rowOff>38100</xdr:rowOff>
    </xdr:from>
    <xdr:to>
      <xdr:col>6</xdr:col>
      <xdr:colOff>276225</xdr:colOff>
      <xdr:row>46</xdr:row>
      <xdr:rowOff>76200</xdr:rowOff>
    </xdr:to>
    <xdr:graphicFrame macro="">
      <xdr:nvGraphicFramePr>
        <xdr:cNvPr id="53624" name="Chart 1">
          <a:extLst>
            <a:ext uri="{FF2B5EF4-FFF2-40B4-BE49-F238E27FC236}">
              <a16:creationId xmlns:a16="http://schemas.microsoft.com/office/drawing/2014/main" id="{00000000-0008-0000-0100-000078D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24</xdr:row>
      <xdr:rowOff>9525</xdr:rowOff>
    </xdr:from>
    <xdr:to>
      <xdr:col>13</xdr:col>
      <xdr:colOff>257175</xdr:colOff>
      <xdr:row>46</xdr:row>
      <xdr:rowOff>47625</xdr:rowOff>
    </xdr:to>
    <xdr:graphicFrame macro="">
      <xdr:nvGraphicFramePr>
        <xdr:cNvPr id="53625" name="Chart 2">
          <a:extLst>
            <a:ext uri="{FF2B5EF4-FFF2-40B4-BE49-F238E27FC236}">
              <a16:creationId xmlns:a16="http://schemas.microsoft.com/office/drawing/2014/main" id="{00000000-0008-0000-0100-000079D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11</xdr:row>
      <xdr:rowOff>0</xdr:rowOff>
    </xdr:from>
    <xdr:to>
      <xdr:col>2</xdr:col>
      <xdr:colOff>390526</xdr:colOff>
      <xdr:row>25</xdr:row>
      <xdr:rowOff>19050</xdr:rowOff>
    </xdr:to>
    <xdr:graphicFrame macro="">
      <xdr:nvGraphicFramePr>
        <xdr:cNvPr id="2088068" name="Chart 4">
          <a:extLst>
            <a:ext uri="{FF2B5EF4-FFF2-40B4-BE49-F238E27FC236}">
              <a16:creationId xmlns:a16="http://schemas.microsoft.com/office/drawing/2014/main" id="{00000000-0008-0000-0300-000084DC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438151</xdr:colOff>
      <xdr:row>11</xdr:row>
      <xdr:rowOff>9525</xdr:rowOff>
    </xdr:from>
    <xdr:to>
      <xdr:col>5</xdr:col>
      <xdr:colOff>76200</xdr:colOff>
      <xdr:row>25</xdr:row>
      <xdr:rowOff>76200</xdr:rowOff>
    </xdr:to>
    <xdr:graphicFrame macro="">
      <xdr:nvGraphicFramePr>
        <xdr:cNvPr id="2088069" name="Chart 5">
          <a:extLst>
            <a:ext uri="{FF2B5EF4-FFF2-40B4-BE49-F238E27FC236}">
              <a16:creationId xmlns:a16="http://schemas.microsoft.com/office/drawing/2014/main" id="{00000000-0008-0000-0300-000085DC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209550</xdr:colOff>
      <xdr:row>11</xdr:row>
      <xdr:rowOff>9525</xdr:rowOff>
    </xdr:from>
    <xdr:to>
      <xdr:col>8</xdr:col>
      <xdr:colOff>0</xdr:colOff>
      <xdr:row>25</xdr:row>
      <xdr:rowOff>85725</xdr:rowOff>
    </xdr:to>
    <xdr:graphicFrame macro="">
      <xdr:nvGraphicFramePr>
        <xdr:cNvPr id="2088070" name="Chart 6">
          <a:extLst>
            <a:ext uri="{FF2B5EF4-FFF2-40B4-BE49-F238E27FC236}">
              <a16:creationId xmlns:a16="http://schemas.microsoft.com/office/drawing/2014/main" id="{00000000-0008-0000-0300-000086DC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104775</xdr:colOff>
      <xdr:row>10</xdr:row>
      <xdr:rowOff>180975</xdr:rowOff>
    </xdr:from>
    <xdr:to>
      <xdr:col>11</xdr:col>
      <xdr:colOff>333374</xdr:colOff>
      <xdr:row>25</xdr:row>
      <xdr:rowOff>66675</xdr:rowOff>
    </xdr:to>
    <xdr:graphicFrame macro="">
      <xdr:nvGraphicFramePr>
        <xdr:cNvPr id="2088071" name="Chart 7">
          <a:extLst>
            <a:ext uri="{FF2B5EF4-FFF2-40B4-BE49-F238E27FC236}">
              <a16:creationId xmlns:a16="http://schemas.microsoft.com/office/drawing/2014/main" id="{00000000-0008-0000-0300-000087DC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24</xdr:row>
      <xdr:rowOff>171450</xdr:rowOff>
    </xdr:from>
    <xdr:to>
      <xdr:col>8</xdr:col>
      <xdr:colOff>161925</xdr:colOff>
      <xdr:row>43</xdr:row>
      <xdr:rowOff>171450</xdr:rowOff>
    </xdr:to>
    <xdr:graphicFrame macro="">
      <xdr:nvGraphicFramePr>
        <xdr:cNvPr id="2635" name="Chart 8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25</xdr:row>
      <xdr:rowOff>0</xdr:rowOff>
    </xdr:from>
    <xdr:to>
      <xdr:col>26</xdr:col>
      <xdr:colOff>419100</xdr:colOff>
      <xdr:row>44</xdr:row>
      <xdr:rowOff>9525</xdr:rowOff>
    </xdr:to>
    <xdr:graphicFrame macro="">
      <xdr:nvGraphicFramePr>
        <xdr:cNvPr id="2636" name="Chart 8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17</xdr:col>
      <xdr:colOff>419100</xdr:colOff>
      <xdr:row>44</xdr:row>
      <xdr:rowOff>9525</xdr:rowOff>
    </xdr:to>
    <xdr:graphicFrame macro="">
      <xdr:nvGraphicFramePr>
        <xdr:cNvPr id="2637" name="Chart 8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26</xdr:row>
      <xdr:rowOff>57150</xdr:rowOff>
    </xdr:from>
    <xdr:to>
      <xdr:col>8</xdr:col>
      <xdr:colOff>581025</xdr:colOff>
      <xdr:row>45</xdr:row>
      <xdr:rowOff>66675</xdr:rowOff>
    </xdr:to>
    <xdr:graphicFrame macro="">
      <xdr:nvGraphicFramePr>
        <xdr:cNvPr id="1811" name="Chart 8">
          <a:extLst>
            <a:ext uri="{FF2B5EF4-FFF2-40B4-BE49-F238E27FC236}">
              <a16:creationId xmlns:a16="http://schemas.microsoft.com/office/drawing/2014/main" id="{00000000-0008-0000-0600-000013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26</xdr:row>
      <xdr:rowOff>0</xdr:rowOff>
    </xdr:from>
    <xdr:to>
      <xdr:col>17</xdr:col>
      <xdr:colOff>419100</xdr:colOff>
      <xdr:row>45</xdr:row>
      <xdr:rowOff>9525</xdr:rowOff>
    </xdr:to>
    <xdr:graphicFrame macro="">
      <xdr:nvGraphicFramePr>
        <xdr:cNvPr id="1812" name="Chart 8">
          <a:extLst>
            <a:ext uri="{FF2B5EF4-FFF2-40B4-BE49-F238E27FC236}">
              <a16:creationId xmlns:a16="http://schemas.microsoft.com/office/drawing/2014/main" id="{00000000-0008-0000-0600-000014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26</xdr:row>
      <xdr:rowOff>0</xdr:rowOff>
    </xdr:from>
    <xdr:to>
      <xdr:col>28</xdr:col>
      <xdr:colOff>371475</xdr:colOff>
      <xdr:row>45</xdr:row>
      <xdr:rowOff>9525</xdr:rowOff>
    </xdr:to>
    <xdr:graphicFrame macro="">
      <xdr:nvGraphicFramePr>
        <xdr:cNvPr id="1813" name="Chart 8">
          <a:extLst>
            <a:ext uri="{FF2B5EF4-FFF2-40B4-BE49-F238E27FC236}">
              <a16:creationId xmlns:a16="http://schemas.microsoft.com/office/drawing/2014/main" id="{00000000-0008-0000-0600-000015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285750</xdr:colOff>
      <xdr:row>45</xdr:row>
      <xdr:rowOff>95250</xdr:rowOff>
    </xdr:from>
    <xdr:to>
      <xdr:col>11</xdr:col>
      <xdr:colOff>1095375</xdr:colOff>
      <xdr:row>59</xdr:row>
      <xdr:rowOff>9525</xdr:rowOff>
    </xdr:to>
    <xdr:graphicFrame macro="">
      <xdr:nvGraphicFramePr>
        <xdr:cNvPr id="1814" name="Chart 1">
          <a:extLst>
            <a:ext uri="{FF2B5EF4-FFF2-40B4-BE49-F238E27FC236}">
              <a16:creationId xmlns:a16="http://schemas.microsoft.com/office/drawing/2014/main" id="{00000000-0008-0000-0600-000016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7</xdr:row>
      <xdr:rowOff>19050</xdr:rowOff>
    </xdr:from>
    <xdr:to>
      <xdr:col>8</xdr:col>
      <xdr:colOff>266700</xdr:colOff>
      <xdr:row>26</xdr:row>
      <xdr:rowOff>152400</xdr:rowOff>
    </xdr:to>
    <xdr:graphicFrame macro="">
      <xdr:nvGraphicFramePr>
        <xdr:cNvPr id="373029" name="Chart 1">
          <a:extLst>
            <a:ext uri="{FF2B5EF4-FFF2-40B4-BE49-F238E27FC236}">
              <a16:creationId xmlns:a16="http://schemas.microsoft.com/office/drawing/2014/main" id="{00000000-0008-0000-0800-000025B1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942976</xdr:colOff>
      <xdr:row>28</xdr:row>
      <xdr:rowOff>0</xdr:rowOff>
    </xdr:from>
    <xdr:to>
      <xdr:col>25</xdr:col>
      <xdr:colOff>381001</xdr:colOff>
      <xdr:row>64</xdr:row>
      <xdr:rowOff>133350</xdr:rowOff>
    </xdr:to>
    <xdr:graphicFrame macro="">
      <xdr:nvGraphicFramePr>
        <xdr:cNvPr id="373030" name="Chart 1">
          <a:extLst>
            <a:ext uri="{FF2B5EF4-FFF2-40B4-BE49-F238E27FC236}">
              <a16:creationId xmlns:a16="http://schemas.microsoft.com/office/drawing/2014/main" id="{00000000-0008-0000-0800-000026B1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0</xdr:row>
      <xdr:rowOff>47625</xdr:rowOff>
    </xdr:from>
    <xdr:to>
      <xdr:col>4</xdr:col>
      <xdr:colOff>695325</xdr:colOff>
      <xdr:row>1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238376" y="47625"/>
          <a:ext cx="1457324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FIGURE 6, 10mm</a:t>
          </a:r>
        </a:p>
      </xdr:txBody>
    </xdr:sp>
    <xdr:clientData/>
  </xdr:twoCellAnchor>
  <xdr:twoCellAnchor>
    <xdr:from>
      <xdr:col>0</xdr:col>
      <xdr:colOff>390525</xdr:colOff>
      <xdr:row>22</xdr:row>
      <xdr:rowOff>104775</xdr:rowOff>
    </xdr:from>
    <xdr:to>
      <xdr:col>5</xdr:col>
      <xdr:colOff>190500</xdr:colOff>
      <xdr:row>42</xdr:row>
      <xdr:rowOff>95250</xdr:rowOff>
    </xdr:to>
    <xdr:graphicFrame macro="">
      <xdr:nvGraphicFramePr>
        <xdr:cNvPr id="898524" name="S0">
          <a:extLst>
            <a:ext uri="{FF2B5EF4-FFF2-40B4-BE49-F238E27FC236}">
              <a16:creationId xmlns:a16="http://schemas.microsoft.com/office/drawing/2014/main" id="{00000000-0008-0000-0A00-0000DCB50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323850</xdr:colOff>
      <xdr:row>23</xdr:row>
      <xdr:rowOff>38101</xdr:rowOff>
    </xdr:from>
    <xdr:to>
      <xdr:col>10</xdr:col>
      <xdr:colOff>666750</xdr:colOff>
      <xdr:row>42</xdr:row>
      <xdr:rowOff>57151</xdr:rowOff>
    </xdr:to>
    <xdr:graphicFrame macro="">
      <xdr:nvGraphicFramePr>
        <xdr:cNvPr id="898525" name="S1">
          <a:extLst>
            <a:ext uri="{FF2B5EF4-FFF2-40B4-BE49-F238E27FC236}">
              <a16:creationId xmlns:a16="http://schemas.microsoft.com/office/drawing/2014/main" id="{00000000-0008-0000-0A00-0000DDB50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28575</xdr:colOff>
      <xdr:row>16</xdr:row>
      <xdr:rowOff>152401</xdr:rowOff>
    </xdr:from>
    <xdr:to>
      <xdr:col>18</xdr:col>
      <xdr:colOff>438150</xdr:colOff>
      <xdr:row>36</xdr:row>
      <xdr:rowOff>161925</xdr:rowOff>
    </xdr:to>
    <xdr:graphicFrame macro="">
      <xdr:nvGraphicFramePr>
        <xdr:cNvPr id="898526" name="Chart 8">
          <a:extLst>
            <a:ext uri="{FF2B5EF4-FFF2-40B4-BE49-F238E27FC236}">
              <a16:creationId xmlns:a16="http://schemas.microsoft.com/office/drawing/2014/main" id="{00000000-0008-0000-0A00-0000DEB50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47625</xdr:colOff>
      <xdr:row>16</xdr:row>
      <xdr:rowOff>161925</xdr:rowOff>
    </xdr:from>
    <xdr:to>
      <xdr:col>25</xdr:col>
      <xdr:colOff>200025</xdr:colOff>
      <xdr:row>36</xdr:row>
      <xdr:rowOff>85725</xdr:rowOff>
    </xdr:to>
    <xdr:graphicFrame macro="">
      <xdr:nvGraphicFramePr>
        <xdr:cNvPr id="898527" name="Chart 9">
          <a:extLst>
            <a:ext uri="{FF2B5EF4-FFF2-40B4-BE49-F238E27FC236}">
              <a16:creationId xmlns:a16="http://schemas.microsoft.com/office/drawing/2014/main" id="{00000000-0008-0000-0A00-0000DFB50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</xdr:row>
      <xdr:rowOff>28575</xdr:rowOff>
    </xdr:from>
    <xdr:to>
      <xdr:col>5</xdr:col>
      <xdr:colOff>66675</xdr:colOff>
      <xdr:row>24</xdr:row>
      <xdr:rowOff>28575</xdr:rowOff>
    </xdr:to>
    <xdr:graphicFrame macro="">
      <xdr:nvGraphicFramePr>
        <xdr:cNvPr id="1211709" name="Chart 1">
          <a:extLst>
            <a:ext uri="{FF2B5EF4-FFF2-40B4-BE49-F238E27FC236}">
              <a16:creationId xmlns:a16="http://schemas.microsoft.com/office/drawing/2014/main" id="{00000000-0008-0000-0B00-00003D7D1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</xdr:colOff>
      <xdr:row>6</xdr:row>
      <xdr:rowOff>123825</xdr:rowOff>
    </xdr:from>
    <xdr:to>
      <xdr:col>12</xdr:col>
      <xdr:colOff>438150</xdr:colOff>
      <xdr:row>23</xdr:row>
      <xdr:rowOff>133350</xdr:rowOff>
    </xdr:to>
    <xdr:graphicFrame macro="">
      <xdr:nvGraphicFramePr>
        <xdr:cNvPr id="1211710" name="Chart 2">
          <a:extLst>
            <a:ext uri="{FF2B5EF4-FFF2-40B4-BE49-F238E27FC236}">
              <a16:creationId xmlns:a16="http://schemas.microsoft.com/office/drawing/2014/main" id="{00000000-0008-0000-0B00-00003E7D1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571500</xdr:colOff>
      <xdr:row>6</xdr:row>
      <xdr:rowOff>180974</xdr:rowOff>
    </xdr:from>
    <xdr:to>
      <xdr:col>19</xdr:col>
      <xdr:colOff>323850</xdr:colOff>
      <xdr:row>26</xdr:row>
      <xdr:rowOff>104774</xdr:rowOff>
    </xdr:to>
    <xdr:graphicFrame macro="">
      <xdr:nvGraphicFramePr>
        <xdr:cNvPr id="1211711" name="Chart 3">
          <a:extLst>
            <a:ext uri="{FF2B5EF4-FFF2-40B4-BE49-F238E27FC236}">
              <a16:creationId xmlns:a16="http://schemas.microsoft.com/office/drawing/2014/main" id="{00000000-0008-0000-0B00-00003F7D1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</xdr:colOff>
      <xdr:row>5</xdr:row>
      <xdr:rowOff>95250</xdr:rowOff>
    </xdr:from>
    <xdr:to>
      <xdr:col>26</xdr:col>
      <xdr:colOff>161925</xdr:colOff>
      <xdr:row>25</xdr:row>
      <xdr:rowOff>180974</xdr:rowOff>
    </xdr:to>
    <xdr:graphicFrame macro="">
      <xdr:nvGraphicFramePr>
        <xdr:cNvPr id="1211712" name="Chart 4">
          <a:extLst>
            <a:ext uri="{FF2B5EF4-FFF2-40B4-BE49-F238E27FC236}">
              <a16:creationId xmlns:a16="http://schemas.microsoft.com/office/drawing/2014/main" id="{00000000-0008-0000-0B00-0000407D1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114300</xdr:rowOff>
    </xdr:from>
    <xdr:to>
      <xdr:col>5</xdr:col>
      <xdr:colOff>314325</xdr:colOff>
      <xdr:row>28</xdr:row>
      <xdr:rowOff>47625</xdr:rowOff>
    </xdr:to>
    <xdr:graphicFrame macro="">
      <xdr:nvGraphicFramePr>
        <xdr:cNvPr id="1278245" name="Chart 1">
          <a:extLst>
            <a:ext uri="{FF2B5EF4-FFF2-40B4-BE49-F238E27FC236}">
              <a16:creationId xmlns:a16="http://schemas.microsoft.com/office/drawing/2014/main" id="{00000000-0008-0000-0C00-000025811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400050</xdr:colOff>
      <xdr:row>6</xdr:row>
      <xdr:rowOff>114299</xdr:rowOff>
    </xdr:from>
    <xdr:to>
      <xdr:col>12</xdr:col>
      <xdr:colOff>514350</xdr:colOff>
      <xdr:row>29</xdr:row>
      <xdr:rowOff>19049</xdr:rowOff>
    </xdr:to>
    <xdr:graphicFrame macro="">
      <xdr:nvGraphicFramePr>
        <xdr:cNvPr id="1278246" name="Chart 2">
          <a:extLst>
            <a:ext uri="{FF2B5EF4-FFF2-40B4-BE49-F238E27FC236}">
              <a16:creationId xmlns:a16="http://schemas.microsoft.com/office/drawing/2014/main" id="{00000000-0008-0000-0C00-000026811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323850</xdr:colOff>
      <xdr:row>6</xdr:row>
      <xdr:rowOff>123825</xdr:rowOff>
    </xdr:from>
    <xdr:to>
      <xdr:col>19</xdr:col>
      <xdr:colOff>409575</xdr:colOff>
      <xdr:row>36</xdr:row>
      <xdr:rowOff>57150</xdr:rowOff>
    </xdr:to>
    <xdr:graphicFrame macro="">
      <xdr:nvGraphicFramePr>
        <xdr:cNvPr id="1278247" name="Chart 3">
          <a:extLst>
            <a:ext uri="{FF2B5EF4-FFF2-40B4-BE49-F238E27FC236}">
              <a16:creationId xmlns:a16="http://schemas.microsoft.com/office/drawing/2014/main" id="{00000000-0008-0000-0C00-000027811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371475</xdr:colOff>
      <xdr:row>7</xdr:row>
      <xdr:rowOff>19050</xdr:rowOff>
    </xdr:from>
    <xdr:to>
      <xdr:col>26</xdr:col>
      <xdr:colOff>371475</xdr:colOff>
      <xdr:row>29</xdr:row>
      <xdr:rowOff>142875</xdr:rowOff>
    </xdr:to>
    <xdr:graphicFrame macro="">
      <xdr:nvGraphicFramePr>
        <xdr:cNvPr id="1278248" name="Chart 4">
          <a:extLst>
            <a:ext uri="{FF2B5EF4-FFF2-40B4-BE49-F238E27FC236}">
              <a16:creationId xmlns:a16="http://schemas.microsoft.com/office/drawing/2014/main" id="{00000000-0008-0000-0C00-000028811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</xdr:row>
          <xdr:rowOff>47625</xdr:rowOff>
        </xdr:from>
        <xdr:to>
          <xdr:col>5</xdr:col>
          <xdr:colOff>600075</xdr:colOff>
          <xdr:row>2</xdr:row>
          <xdr:rowOff>180975</xdr:rowOff>
        </xdr:to>
        <xdr:sp macro="" textlink="">
          <xdr:nvSpPr>
            <xdr:cNvPr id="9218" name="Calculate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A47965E-D43B-4996-8183-FC5D6F9FA489}" name="SampleB_I" displayName="SampleB_I" ref="B2:E8" totalsRowShown="0" headerRowDxfId="150" headerRowBorderDxfId="149" tableBorderDxfId="148">
  <autoFilter ref="B2:E8" xr:uid="{5A47965E-D43B-4996-8183-FC5D6F9FA489}"/>
  <tableColumns count="4">
    <tableColumn id="1" xr3:uid="{B30E2A2E-8A9F-4929-9A12-D8917E18574A}" name="Strength, MPa " dataDxfId="147"/>
    <tableColumn id="2" xr3:uid="{0611E287-6409-4874-81D4-627E27546DCE}" name="PC Concrete" dataDxfId="146"/>
    <tableColumn id="3" xr3:uid="{531FB47A-1FA5-48D3-9E35-8AF4D6AF5BF5}" name="RHA Concrete" dataDxfId="145"/>
    <tableColumn id="4" xr3:uid="{92595CDB-550A-4688-B423-A7ABF0DEDBEC}" name="e" dataDxfId="1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309445D-77DD-4205-8A49-5D419FF6955F}" name="SampleC_I" displayName="SampleC_I" ref="G2:J8" totalsRowShown="0" headerRowDxfId="143" headerRowBorderDxfId="142" tableBorderDxfId="141">
  <autoFilter ref="G2:J8" xr:uid="{D309445D-77DD-4205-8A49-5D419FF6955F}"/>
  <tableColumns count="4">
    <tableColumn id="1" xr3:uid="{D13F49BA-7FC0-4EA5-BC76-7D1A217CEB61}" name="Strength, MPa " dataDxfId="140"/>
    <tableColumn id="2" xr3:uid="{F3D910B0-382C-4D68-AB94-63E6F4FC3577}" name="PC Concrete" dataDxfId="139"/>
    <tableColumn id="3" xr3:uid="{F8516801-D1DA-4087-816C-002ADD4E9200}" name="RHA Concrete" dataDxfId="138"/>
    <tableColumn id="4" xr3:uid="{C0294F36-A6D9-44DA-8364-D4C24C1BEA10}" name="e" dataDxfId="1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1A459DA-7A62-454F-84D0-103A977D7180}" name="SampleD_I" displayName="SampleD_I" ref="L2:O8" totalsRowShown="0" headerRowDxfId="136" headerRowBorderDxfId="135" tableBorderDxfId="134">
  <autoFilter ref="L2:O8" xr:uid="{91A459DA-7A62-454F-84D0-103A977D7180}"/>
  <tableColumns count="4">
    <tableColumn id="1" xr3:uid="{81C1DE5B-5E66-4641-AE6B-9116D3BEC291}" name="Strength, MPa " dataDxfId="133"/>
    <tableColumn id="2" xr3:uid="{C8B16313-B0CF-4917-8D2A-B33C6D418C41}" name="PC Concrete" dataDxfId="132"/>
    <tableColumn id="3" xr3:uid="{34EA1F6B-86BC-46A4-BAED-40F55E1E9C95}" name="RHA Concrete" dataDxfId="131"/>
    <tableColumn id="4" xr3:uid="{6121ACEA-2D70-41DD-BF89-8D20C6BA0E08}" name="e" dataDxfId="1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99F0D2A-8ECF-4E08-BB17-0CE7D3F56AF5}" name="SampleB_II" displayName="SampleB_II" ref="B2:E8" totalsRowShown="0" headerRowDxfId="127" headerRowBorderDxfId="126" tableBorderDxfId="125">
  <autoFilter ref="B2:E8" xr:uid="{599F0D2A-8ECF-4E08-BB17-0CE7D3F56AF5}"/>
  <tableColumns count="4">
    <tableColumn id="1" xr3:uid="{BA6EC5CD-2392-4CFE-92C4-C8E2CF71CE71}" name="Strength, MPa " dataDxfId="124"/>
    <tableColumn id="2" xr3:uid="{D3B03862-D4D7-422A-8892-7537954D51E4}" name="PC Concrete" dataDxfId="123"/>
    <tableColumn id="3" xr3:uid="{AAC6A096-0A40-4D3C-A88B-5BA8182A86DC}" name="RHA Concrete" dataDxfId="122"/>
    <tableColumn id="4" xr3:uid="{20C547A4-C712-4390-8208-EEBB43CDE06A}" name="e" dataDxfId="1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3800B0A-8A06-4497-A68B-B319027004F6}" name="SampleC_II" displayName="SampleC_II" ref="G2:J8" totalsRowShown="0" headerRowDxfId="120" headerRowBorderDxfId="119" tableBorderDxfId="118">
  <autoFilter ref="G2:J8" xr:uid="{23800B0A-8A06-4497-A68B-B319027004F6}"/>
  <tableColumns count="4">
    <tableColumn id="1" xr3:uid="{B1241C51-60E4-4EFA-8B1D-B988F1D6355A}" name="Strength, MPa " dataDxfId="117"/>
    <tableColumn id="2" xr3:uid="{DD6F259B-DC5B-42C7-9CB8-3CF1C0C11C86}" name="PC Concrete" dataDxfId="116"/>
    <tableColumn id="3" xr3:uid="{69761A89-5808-423F-AF0C-C825BB987BF9}" name="RHA Concrete" dataDxfId="115"/>
    <tableColumn id="4" xr3:uid="{D161C0B7-749A-44A1-AE29-B7F3535C90A9}" name="e" dataDxfId="1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A5D764D-299D-4D0B-BC28-4C1C3FC2BD6B}" name="SampleD_II" displayName="SampleD_II" ref="L2:O8" totalsRowShown="0" headerRowDxfId="113" headerRowBorderDxfId="112" tableBorderDxfId="111">
  <autoFilter ref="L2:O8" xr:uid="{8A5D764D-299D-4D0B-BC28-4C1C3FC2BD6B}"/>
  <tableColumns count="4">
    <tableColumn id="1" xr3:uid="{3FABFBB7-522D-4DE5-8615-836B0D5BBE2A}" name="Strength, MPa " dataDxfId="110"/>
    <tableColumn id="2" xr3:uid="{DC3BE783-09FB-4760-9460-8225EB71F11C}" name="PC Concrete" dataDxfId="109"/>
    <tableColumn id="3" xr3:uid="{357A0BCC-7197-46DC-8073-6000FD70D904}" name="RHA Concrete" dataDxfId="108"/>
    <tableColumn id="4" xr3:uid="{98E26AB9-42B9-4EA6-9974-9E281F6C8548}" name="e" dataDxfId="10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00000000}" name="Table145" displayName="Table145" ref="A2:B7" totalsRowShown="0" tableBorderDxfId="106">
  <autoFilter ref="A2:B7" xr:uid="{00000000-0009-0000-0100-000091000000}"/>
  <tableColumns count="2">
    <tableColumn id="1" xr3:uid="{00000000-0010-0000-0000-000001000000}" name="w/b" dataDxfId="105"/>
    <tableColumn id="2" xr3:uid="{00000000-0010-0000-0000-000002000000}" name="Compressive Strength (Mpa)" dataDxfId="10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01000000}" name="Table146" displayName="Table146" ref="D2:E7" totalsRowShown="0" tableBorderDxfId="103">
  <autoFilter ref="D2:E7" xr:uid="{00000000-0009-0000-0100-000092000000}"/>
  <tableColumns count="2">
    <tableColumn id="1" xr3:uid="{00000000-0010-0000-0100-000001000000}" name="w/b" dataDxfId="102"/>
    <tableColumn id="2" xr3:uid="{00000000-0010-0000-0100-000002000000}" name="Compressive Strength (Mpa)" dataDxfId="10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02000000}" name="Table148" displayName="Table148" ref="J2:K7" totalsRowShown="0" tableBorderDxfId="100">
  <autoFilter ref="J2:K7" xr:uid="{00000000-0009-0000-0100-000094000000}"/>
  <tableColumns count="2">
    <tableColumn id="1" xr3:uid="{00000000-0010-0000-0200-000001000000}" name="w/b" dataDxfId="99"/>
    <tableColumn id="2" xr3:uid="{00000000-0010-0000-0200-000002000000}" name="Compressive Strength (Mpa)" dataDxfId="9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03000000}" name="Table147" displayName="Table147" ref="G2:H7" totalsRowShown="0" tableBorderDxfId="97">
  <autoFilter ref="G2:H7" xr:uid="{00000000-0009-0000-0100-000093000000}"/>
  <tableColumns count="2">
    <tableColumn id="1" xr3:uid="{00000000-0010-0000-0300-000001000000}" name="w/b" dataDxfId="96"/>
    <tableColumn id="2" xr3:uid="{00000000-0010-0000-0300-000002000000}" name="Compressive Strength (Mpa)" dataDxfId="9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S_0" displayName="S_0" ref="A4:E9" totalsRowShown="0">
  <autoFilter ref="A4:E9" xr:uid="{00000000-0009-0000-0100-000002000000}"/>
  <tableColumns count="5">
    <tableColumn id="1" xr3:uid="{00000000-0010-0000-0400-000001000000}" name="Column1"/>
    <tableColumn id="2" xr3:uid="{00000000-0010-0000-0400-000002000000}" name="Column2"/>
    <tableColumn id="3" xr3:uid="{00000000-0010-0000-0400-000003000000}" name="Column3"/>
    <tableColumn id="4" xr3:uid="{00000000-0010-0000-0400-000004000000}" name="Column4"/>
    <tableColumn id="5" xr3:uid="{00000000-0010-0000-0400-000005000000}" name="Column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S_1" displayName="S_1" ref="G4:K9" totalsRowShown="0">
  <autoFilter ref="G4:K9" xr:uid="{00000000-0009-0000-0100-000003000000}"/>
  <tableColumns count="5">
    <tableColumn id="1" xr3:uid="{00000000-0010-0000-0500-000001000000}" name="Column1"/>
    <tableColumn id="2" xr3:uid="{00000000-0010-0000-0500-000002000000}" name="Column2"/>
    <tableColumn id="3" xr3:uid="{00000000-0010-0000-0500-000003000000}" name="Column3"/>
    <tableColumn id="4" xr3:uid="{00000000-0010-0000-0500-000004000000}" name="Column4"/>
    <tableColumn id="5" xr3:uid="{00000000-0010-0000-0500-000005000000}" name="Column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S_2" displayName="S_2" ref="N4:R9" totalsRowShown="0">
  <autoFilter ref="N4:R9" xr:uid="{00000000-0009-0000-0100-000004000000}"/>
  <tableColumns count="5">
    <tableColumn id="1" xr3:uid="{00000000-0010-0000-0600-000001000000}" name="Column1"/>
    <tableColumn id="2" xr3:uid="{00000000-0010-0000-0600-000002000000}" name="Column2"/>
    <tableColumn id="3" xr3:uid="{00000000-0010-0000-0600-000003000000}" name="Column3"/>
    <tableColumn id="4" xr3:uid="{00000000-0010-0000-0600-000004000000}" name="Column4"/>
    <tableColumn id="5" xr3:uid="{00000000-0010-0000-0600-000005000000}" name="Column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S_2_6" displayName="S_2_6" ref="U4:Y9" totalsRowShown="0">
  <autoFilter ref="U4:Y9" xr:uid="{00000000-0009-0000-0100-000005000000}"/>
  <tableColumns count="5">
    <tableColumn id="1" xr3:uid="{00000000-0010-0000-0700-000001000000}" name="Column1"/>
    <tableColumn id="2" xr3:uid="{00000000-0010-0000-0700-000002000000}" name="Column2"/>
    <tableColumn id="3" xr3:uid="{00000000-0010-0000-0700-000003000000}" name="Column3"/>
    <tableColumn id="4" xr3:uid="{00000000-0010-0000-0700-000004000000}" name="Column4"/>
    <tableColumn id="5" xr3:uid="{00000000-0010-0000-0700-000005000000}" name="Column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S0_10mm" displayName="S0_10mm" ref="A12:F17" totalsRowShown="0">
  <autoFilter ref="A12:F17" xr:uid="{00000000-0009-0000-0100-000006000000}"/>
  <tableColumns count="6">
    <tableColumn id="1" xr3:uid="{00000000-0010-0000-0800-000001000000}" name="Free-water/cement ratio"/>
    <tableColumn id="2" xr3:uid="{00000000-0010-0000-0800-000002000000}" name="15%" dataDxfId="94">
      <calculatedColumnFormula>27.783*A13+42.773</calculatedColumnFormula>
    </tableColumn>
    <tableColumn id="3" xr3:uid="{00000000-0010-0000-0800-000003000000}" name="40%" dataDxfId="93">
      <calculatedColumnFormula>25*A13+31.67</calculatedColumnFormula>
    </tableColumn>
    <tableColumn id="4" xr3:uid="{00000000-0010-0000-0800-000004000000}" name="60%" dataDxfId="92">
      <calculatedColumnFormula>16.667*A13+28.337</calculatedColumnFormula>
    </tableColumn>
    <tableColumn id="5" xr3:uid="{00000000-0010-0000-0800-000005000000}" name="80%" dataDxfId="91">
      <calculatedColumnFormula>15.733*A13+22.413</calculatedColumnFormula>
    </tableColumn>
    <tableColumn id="6" xr3:uid="{00000000-0010-0000-0800-000006000000}" name="100%" dataDxfId="90">
      <calculatedColumnFormula>12.033*A13+20.373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S1_10mm" displayName="S1_10mm" ref="G12:L16" totalsRowShown="0">
  <autoFilter ref="G12:L16" xr:uid="{00000000-0009-0000-0100-00000E000000}"/>
  <tableColumns count="6">
    <tableColumn id="1" xr3:uid="{00000000-0010-0000-0900-000001000000}" name="Free-water/cement ratio"/>
    <tableColumn id="2" xr3:uid="{00000000-0010-0000-0900-000002000000}" name="15%" dataDxfId="89">
      <calculatedColumnFormula>27.775*G13+44.445</calculatedColumnFormula>
    </tableColumn>
    <tableColumn id="3" xr3:uid="{00000000-0010-0000-0900-000003000000}" name="40%" dataDxfId="88">
      <calculatedColumnFormula>26.4*G13+33.05</calculatedColumnFormula>
    </tableColumn>
    <tableColumn id="4" xr3:uid="{00000000-0010-0000-0900-000004000000}" name="60%" dataDxfId="87">
      <calculatedColumnFormula>18.05*G13 + 29.17</calculatedColumnFormula>
    </tableColumn>
    <tableColumn id="5" xr3:uid="{00000000-0010-0000-0900-000005000000}" name="80%" dataDxfId="86">
      <calculatedColumnFormula>13.875*G13 + 25.005</calculatedColumnFormula>
    </tableColumn>
    <tableColumn id="6" xr3:uid="{00000000-0010-0000-0900-000006000000}" name="100%" dataDxfId="85">
      <calculatedColumnFormula>11.1*G13 + 21.67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S2_10mm" displayName="S2_10mm" ref="N12:S16" totalsRowShown="0">
  <autoFilter ref="N12:S16" xr:uid="{00000000-0009-0000-0100-000010000000}"/>
  <tableColumns count="6">
    <tableColumn id="1" xr3:uid="{00000000-0010-0000-0A00-000001000000}" name="Free-water/cement ratio"/>
    <tableColumn id="2" xr3:uid="{00000000-0010-0000-0A00-000002000000}" name="15%" dataDxfId="84">
      <calculatedColumnFormula>25*N13+50</calculatedColumnFormula>
    </tableColumn>
    <tableColumn id="3" xr3:uid="{00000000-0010-0000-0A00-000003000000}" name="40%" dataDxfId="83">
      <calculatedColumnFormula>21.3*N13 + 37.96</calculatedColumnFormula>
    </tableColumn>
    <tableColumn id="4" xr3:uid="{00000000-0010-0000-0A00-000004000000}" name="60%" dataDxfId="82">
      <calculatedColumnFormula>13.883*N13+ 33.893</calculatedColumnFormula>
    </tableColumn>
    <tableColumn id="5" xr3:uid="{00000000-0010-0000-0A00-000005000000}" name="80%" dataDxfId="81">
      <calculatedColumnFormula>13.883*N13+ 27.223</calculatedColumnFormula>
    </tableColumn>
    <tableColumn id="6" xr3:uid="{00000000-0010-0000-0A00-000006000000}" name="100%" dataDxfId="80">
      <calculatedColumnFormula>13.883*N13 + 22.223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S3_10mm" displayName="S3_10mm" ref="U12:Z16" totalsRowShown="0">
  <autoFilter ref="U12:Z16" xr:uid="{00000000-0009-0000-0100-000011000000}"/>
  <tableColumns count="6">
    <tableColumn id="1" xr3:uid="{00000000-0010-0000-0B00-000001000000}" name="Free-water/cement ratio"/>
    <tableColumn id="2" xr3:uid="{00000000-0010-0000-0B00-000002000000}" name="15%" dataDxfId="79">
      <calculatedColumnFormula>27.783*U13 + 55.553</calculatedColumnFormula>
    </tableColumn>
    <tableColumn id="3" xr3:uid="{00000000-0010-0000-0B00-000003000000}" name="40%" dataDxfId="78">
      <calculatedColumnFormula>23.15*U13+43.7</calculatedColumnFormula>
    </tableColumn>
    <tableColumn id="4" xr3:uid="{00000000-0010-0000-0B00-000004000000}" name="60%" dataDxfId="77">
      <calculatedColumnFormula>16.667*U13+36.667</calculatedColumnFormula>
    </tableColumn>
    <tableColumn id="5" xr3:uid="{00000000-0010-0000-0B00-000005000000}" name="80%" dataDxfId="76">
      <calculatedColumnFormula>13.9*U13+30.55</calculatedColumnFormula>
    </tableColumn>
    <tableColumn id="6" xr3:uid="{00000000-0010-0000-0B00-000006000000}" name="100%" dataDxfId="75">
      <calculatedColumnFormula>12.967*U13+25.737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91AC03-5AA5-4610-8BC3-A1F15E62EDF0}" name="F0_10mm" displayName="F0_10mm" ref="A45:B50" totalsRowShown="0" headerRowDxfId="74">
  <autoFilter ref="A45:B50" xr:uid="{6F91AC03-5AA5-4610-8BC3-A1F15E62EDF0}"/>
  <tableColumns count="2">
    <tableColumn id="1" xr3:uid="{8C2DA742-D2B0-4112-A4AA-31B0096943CC}" name="Percentage" dataDxfId="73"/>
    <tableColumn id="2" xr3:uid="{47A0E55E-864D-410D-AD42-AB449097E29F}" name="Equation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F8F1F83-FD74-40C9-A448-11EEBA80D3A9}" name="F1_10mm" displayName="F1_10mm" ref="G45:H50" totalsRowShown="0" headerRowDxfId="72">
  <autoFilter ref="G45:H50" xr:uid="{4F8F1F83-FD74-40C9-A448-11EEBA80D3A9}"/>
  <tableColumns count="2">
    <tableColumn id="1" xr3:uid="{D663C333-02FF-4EE9-9951-9862F49FE2A3}" name="Percentage" dataDxfId="71"/>
    <tableColumn id="2" xr3:uid="{996EE3F6-F6FF-4A61-AA74-13FAC0C66FFC}" name="Equation" dataDxfId="7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A71A929-6E44-48A0-991D-AB7AAB420D23}" name="F2_10mm" displayName="F2_10mm" ref="N39:O44" totalsRowShown="0" headerRowDxfId="69">
  <autoFilter ref="N39:O44" xr:uid="{6A71A929-6E44-48A0-991D-AB7AAB420D23}"/>
  <tableColumns count="2">
    <tableColumn id="1" xr3:uid="{276FD50C-B16D-477D-ACA3-9312808916B2}" name="Percentage" dataDxfId="68"/>
    <tableColumn id="2" xr3:uid="{3A4A373D-2165-4610-8191-D6BB77381D35}" name="Equation" dataDxfId="6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2E6BA7B-2D51-4B39-A677-5435D67498FC}" name="F3_10mm" displayName="F3_10mm" ref="U39:V44" totalsRowShown="0" headerRowDxfId="66">
  <autoFilter ref="U39:V44" xr:uid="{22E6BA7B-2D51-4B39-A677-5435D67498FC}"/>
  <tableColumns count="2">
    <tableColumn id="1" xr3:uid="{C4F6A9ED-218D-44BE-A969-074AF09C58AE}" name="Percentage" dataDxfId="65"/>
    <tableColumn id="2" xr3:uid="{90091C67-AE61-480F-9F19-6B6F5EA7C0F1}" name="Equation" dataDxfId="6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C000000}" name="S0_20mm" displayName="S0_20mm" ref="A1:F5" totalsRowShown="0">
  <autoFilter ref="A1:F5" xr:uid="{00000000-0009-0000-0100-00001E000000}"/>
  <tableColumns count="6">
    <tableColumn id="1" xr3:uid="{00000000-0010-0000-0C00-000001000000}" name="Free-water/cement ratio"/>
    <tableColumn id="2" xr3:uid="{00000000-0010-0000-0C00-000002000000}" name="15%" dataDxfId="63">
      <calculatedColumnFormula>27.75*A2+28.91</calculatedColumnFormula>
    </tableColumn>
    <tableColumn id="3" xr3:uid="{00000000-0010-0000-0C00-000003000000}" name="40%" dataDxfId="62">
      <calculatedColumnFormula>19.45*A2+24.44</calculatedColumnFormula>
    </tableColumn>
    <tableColumn id="4" xr3:uid="{00000000-0010-0000-0C00-000004000000}" name="60%" dataDxfId="61">
      <calculatedColumnFormula>16.65*A2+20.01</calculatedColumnFormula>
    </tableColumn>
    <tableColumn id="5" xr3:uid="{00000000-0010-0000-0C00-000005000000}" name="80%" dataDxfId="60">
      <calculatedColumnFormula>13.9*A2+16.66</calculatedColumnFormula>
    </tableColumn>
    <tableColumn id="6" xr3:uid="{00000000-0010-0000-0C00-000006000000}" name="100%" dataDxfId="59">
      <calculatedColumnFormula>11.1*A2+14.45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D000000}" name="S1_20mm" displayName="S1_20mm" ref="H1:M5" totalsRowShown="0">
  <autoFilter ref="H1:M5" xr:uid="{00000000-0009-0000-0100-00001F000000}"/>
  <tableColumns count="6">
    <tableColumn id="1" xr3:uid="{00000000-0010-0000-0D00-000001000000}" name="Free-water/cement ratio"/>
    <tableColumn id="2" xr3:uid="{00000000-0010-0000-0D00-000002000000}" name="15%" dataDxfId="58">
      <calculatedColumnFormula>27.783*H2+31.663</calculatedColumnFormula>
    </tableColumn>
    <tableColumn id="3" xr3:uid="{00000000-0010-0000-0D00-000003000000}" name="40%" dataDxfId="57">
      <calculatedColumnFormula>21.3*H2+25.74</calculatedColumnFormula>
    </tableColumn>
    <tableColumn id="4" xr3:uid="{00000000-0010-0000-0D00-000004000000}" name="60%" dataDxfId="56">
      <calculatedColumnFormula>16.667*H2+21.667</calculatedColumnFormula>
    </tableColumn>
    <tableColumn id="5" xr3:uid="{00000000-0010-0000-0D00-000005000000}" name="80%" dataDxfId="55">
      <calculatedColumnFormula>16.667*H2+16.667</calculatedColumnFormula>
    </tableColumn>
    <tableColumn id="6" xr3:uid="{00000000-0010-0000-0D00-000006000000}" name="100%" dataDxfId="54">
      <calculatedColumnFormula>12.033*H2+15.373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E000000}" name="S2_20mm" displayName="S2_20mm" ref="O1:T5" totalsRowShown="0">
  <autoFilter ref="O1:T5" xr:uid="{00000000-0009-0000-0100-000020000000}"/>
  <tableColumns count="6">
    <tableColumn id="1" xr3:uid="{00000000-0010-0000-0E00-000001000000}" name="Free-water/cement ratio"/>
    <tableColumn id="2" xr3:uid="{00000000-0010-0000-0E00-000002000000}" name="15%" dataDxfId="53">
      <calculatedColumnFormula>27.775*O2+35.555</calculatedColumnFormula>
    </tableColumn>
    <tableColumn id="3" xr3:uid="{00000000-0010-0000-0E00-000003000000}" name="40%" dataDxfId="52">
      <calculatedColumnFormula>22.225*O2 + 27.775</calculatedColumnFormula>
    </tableColumn>
    <tableColumn id="4" xr3:uid="{00000000-0010-0000-0E00-000004000000}" name="60%" dataDxfId="51">
      <calculatedColumnFormula>16.65*O2+24.45</calculatedColumnFormula>
    </tableColumn>
    <tableColumn id="5" xr3:uid="{00000000-0010-0000-0E00-000005000000}" name="80%" dataDxfId="50">
      <calculatedColumnFormula>13.9*O2+ 20.55</calculatedColumnFormula>
    </tableColumn>
    <tableColumn id="6" xr3:uid="{00000000-0010-0000-0E00-000006000000}" name="100%" dataDxfId="49">
      <calculatedColumnFormula>12.5*O2 + 17.5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F000000}" name="S3_20mm" displayName="S3_20mm" ref="V1:AA5" totalsRowShown="0">
  <autoFilter ref="V1:AA5" xr:uid="{00000000-0009-0000-0100-000021000000}"/>
  <tableColumns count="6">
    <tableColumn id="1" xr3:uid="{00000000-0010-0000-0F00-000001000000}" name="Free-water/cement ratio"/>
    <tableColumn id="2" xr3:uid="{00000000-0010-0000-0F00-000002000000}" name="15%" dataDxfId="48">
      <calculatedColumnFormula>27.775*V2 + 42.22</calculatedColumnFormula>
    </tableColumn>
    <tableColumn id="3" xr3:uid="{00000000-0010-0000-0F00-000003000000}" name="40%" dataDxfId="47">
      <calculatedColumnFormula>22.225*V2+33.33</calculatedColumnFormula>
    </tableColumn>
    <tableColumn id="4" xr3:uid="{00000000-0010-0000-0F00-000004000000}" name="60%" dataDxfId="46">
      <calculatedColumnFormula>19.45*V2+26.66</calculatedColumnFormula>
    </tableColumn>
    <tableColumn id="5" xr3:uid="{00000000-0010-0000-0F00-000005000000}" name="80%" dataDxfId="45">
      <calculatedColumnFormula>16.675*V2+22.22</calculatedColumnFormula>
    </tableColumn>
    <tableColumn id="6" xr3:uid="{00000000-0010-0000-0F00-000006000000}" name="100%" dataDxfId="44">
      <calculatedColumnFormula>15.275*V2+18.89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4BA3495-019E-4AF7-BBCA-4B18FC2345E2}" name="F1_20mm" displayName="F1_20mm" ref="H26:I31" totalsRowShown="0" headerRowDxfId="43">
  <autoFilter ref="H26:I31" xr:uid="{F4BA3495-019E-4AF7-BBCA-4B18FC2345E2}"/>
  <tableColumns count="2">
    <tableColumn id="1" xr3:uid="{5477B569-6FEE-4B78-8D83-5C057537E4D7}" name="Percentage" dataDxfId="42"/>
    <tableColumn id="2" xr3:uid="{0827B326-3DED-466F-872D-BDE6D9098F04}" name="Equation" dataDxfId="4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6C47CB8-3436-4475-B730-499815931D3E}" name="F2_20mm" displayName="F2_20mm" ref="O29:P34" totalsRowShown="0" headerRowDxfId="40">
  <autoFilter ref="O29:P34" xr:uid="{26C47CB8-3436-4475-B730-499815931D3E}"/>
  <tableColumns count="2">
    <tableColumn id="1" xr3:uid="{CA67406C-63DB-469D-9156-C2B773A2B146}" name="Percentage" dataDxfId="39"/>
    <tableColumn id="2" xr3:uid="{D0B353E3-3A8E-4B68-BAAE-4005C03DA358}" name="Equation" dataDxfId="3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CED9406-2B99-4F5A-9ADB-78FEC334F9D8}" name="F3_20mm" displayName="F3_20mm" ref="V29:W34" totalsRowShown="0" headerRowDxfId="37">
  <autoFilter ref="V29:W34" xr:uid="{BCED9406-2B99-4F5A-9ADB-78FEC334F9D8}"/>
  <tableColumns count="2">
    <tableColumn id="1" xr3:uid="{94E5D99A-DB90-4AEC-A55A-10541FD0682F}" name="Percentage" dataDxfId="36"/>
    <tableColumn id="2" xr3:uid="{CCB8F282-08E4-4458-8855-B6568AFA5D32}" name="Equation" dataDxfId="3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E425D71-C8FB-42F9-9310-1BBCA2452639}" name="F0_20mm" displayName="F0_20mm" ref="A26:B31" totalsRowShown="0" headerRowDxfId="34">
  <autoFilter ref="A26:B31" xr:uid="{5E425D71-C8FB-42F9-9310-1BBCA2452639}"/>
  <tableColumns count="2">
    <tableColumn id="1" xr3:uid="{158BDC1B-30AB-439D-8FF1-F6FF34B375A7}" name="Percentage" dataDxfId="33"/>
    <tableColumn id="2" xr3:uid="{3F23007C-E3EC-4D98-BCB0-AA339C945584}" name="Equation" dataDxfId="3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0000000}" name="S0_40mm" displayName="S0_40mm" ref="A1:F5" totalsRowShown="0">
  <autoFilter ref="A1:F5" xr:uid="{00000000-0009-0000-0100-000026000000}"/>
  <tableColumns count="6">
    <tableColumn id="1" xr3:uid="{00000000-0010-0000-1000-000001000000}" name="Free-water/cement ratio"/>
    <tableColumn id="2" xr3:uid="{00000000-0010-0000-1000-000002000000}" name="15%" dataDxfId="31">
      <calculatedColumnFormula>26.85*A2 + 22.41</calculatedColumnFormula>
    </tableColumn>
    <tableColumn id="3" xr3:uid="{00000000-0010-0000-1000-000003000000}" name="40%" dataDxfId="30">
      <calculatedColumnFormula>25*A2+16.11</calculatedColumnFormula>
    </tableColumn>
    <tableColumn id="4" xr3:uid="{00000000-0010-0000-1000-000004000000}" name="60%" dataDxfId="29">
      <calculatedColumnFormula>17.583*A2+14.263</calculatedColumnFormula>
    </tableColumn>
    <tableColumn id="5" xr3:uid="{00000000-0010-0000-1000-000005000000}" name="80%" dataDxfId="28">
      <calculatedColumnFormula>14.817*A2+12.037</calculatedColumnFormula>
    </tableColumn>
    <tableColumn id="6" xr3:uid="{00000000-0010-0000-1000-000006000000}" name="100%" dataDxfId="27">
      <calculatedColumnFormula>12.967*A2+9.627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1000000}" name="S1_40mm" displayName="S1_40mm" ref="H1:M5" totalsRowShown="0">
  <autoFilter ref="H1:M5" xr:uid="{00000000-0009-0000-0100-000027000000}"/>
  <tableColumns count="6">
    <tableColumn id="1" xr3:uid="{00000000-0010-0000-1100-000001000000}" name="Free-water/cement ratio"/>
    <tableColumn id="2" xr3:uid="{00000000-0010-0000-1100-000002000000}" name="15%" dataDxfId="26">
      <calculatedColumnFormula>27.783*H2+24.443</calculatedColumnFormula>
    </tableColumn>
    <tableColumn id="3" xr3:uid="{00000000-0010-0000-1100-000003000000}" name="40%" dataDxfId="25">
      <calculatedColumnFormula>24.083*H2+18.513</calculatedColumnFormula>
    </tableColumn>
    <tableColumn id="4" xr3:uid="{00000000-0010-0000-1100-000004000000}" name="60%" dataDxfId="24">
      <calculatedColumnFormula>16.667*H2+16.667</calculatedColumnFormula>
    </tableColumn>
    <tableColumn id="5" xr3:uid="{00000000-0010-0000-1100-000005000000}" name="80%" dataDxfId="23">
      <calculatedColumnFormula>12.95*H2+14.08</calculatedColumnFormula>
    </tableColumn>
    <tableColumn id="6" xr3:uid="{00000000-0010-0000-1100-000006000000}" name="100%" dataDxfId="22">
      <calculatedColumnFormula>10.183*H2+12.963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2000000}" name="S2_40mm" displayName="S2_40mm" ref="O1:T5" totalsRowShown="0">
  <autoFilter ref="O1:T5" xr:uid="{00000000-0009-0000-0100-000028000000}"/>
  <tableColumns count="6">
    <tableColumn id="1" xr3:uid="{00000000-0010-0000-1200-000001000000}" name="Free-water/cement ratio"/>
    <tableColumn id="2" xr3:uid="{00000000-0010-0000-1200-000002000000}" name="15%" dataDxfId="21">
      <calculatedColumnFormula>26.4*O2 + 29.16</calculatedColumnFormula>
    </tableColumn>
    <tableColumn id="3" xr3:uid="{00000000-0010-0000-1200-000003000000}" name="40%" dataDxfId="20">
      <calculatedColumnFormula>19.45*O2 + 24.44</calculatedColumnFormula>
    </tableColumn>
    <tableColumn id="4" xr3:uid="{00000000-0010-0000-1200-000004000000}" name="60%" dataDxfId="19">
      <calculatedColumnFormula>13.85*O2 + 20.56</calculatedColumnFormula>
    </tableColumn>
    <tableColumn id="5" xr3:uid="{00000000-0010-0000-1200-000005000000}" name="80%" dataDxfId="18">
      <calculatedColumnFormula>11.1*O2 + 17.78</calculatedColumnFormula>
    </tableColumn>
    <tableColumn id="6" xr3:uid="{00000000-0010-0000-1200-000006000000}" name="100%" dataDxfId="17">
      <calculatedColumnFormula>11.1*O2 + 14.45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3000000}" name="S3_40mm" displayName="S3_40mm" ref="V1:AA5" totalsRowShown="0">
  <autoFilter ref="V1:AA5" xr:uid="{00000000-0009-0000-0100-000029000000}"/>
  <tableColumns count="6">
    <tableColumn id="1" xr3:uid="{00000000-0010-0000-1300-000001000000}" name="Free-water/cement ratio"/>
    <tableColumn id="2" xr3:uid="{00000000-0010-0000-1300-000002000000}" name="15%" dataDxfId="16">
      <calculatedColumnFormula>30.55*V2 +33.89</calculatedColumnFormula>
    </tableColumn>
    <tableColumn id="3" xr3:uid="{00000000-0010-0000-1300-000003000000}" name="40%" dataDxfId="15">
      <calculatedColumnFormula>23.625*V2 +27.495</calculatedColumnFormula>
    </tableColumn>
    <tableColumn id="4" xr3:uid="{00000000-0010-0000-1300-000004000000}" name="60%" dataDxfId="14">
      <calculatedColumnFormula>19.45*V2 +22.22</calculatedColumnFormula>
    </tableColumn>
    <tableColumn id="5" xr3:uid="{00000000-0010-0000-1300-000005000000}" name="80%" dataDxfId="13">
      <calculatedColumnFormula>16.675*V2 +18.885</calculatedColumnFormula>
    </tableColumn>
    <tableColumn id="6" xr3:uid="{00000000-0010-0000-1300-000006000000}" name="100%" dataDxfId="12">
      <calculatedColumnFormula>11.1*V2 +17.78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88A5B4-C306-4A5D-A659-7623DFF6661B}" name="F3_40mm" displayName="F3_40mm" ref="W33:X38" totalsRowShown="0" headerRowDxfId="11">
  <autoFilter ref="W33:X38" xr:uid="{F888A5B4-C306-4A5D-A659-7623DFF6661B}"/>
  <tableColumns count="2">
    <tableColumn id="1" xr3:uid="{44F6908D-B471-487A-9F6E-41F53B78122D}" name="Percentage" dataDxfId="10"/>
    <tableColumn id="2" xr3:uid="{29F2BC41-6584-4440-BEB5-E90072D0B476}" name="Equation" dataDxfId="9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424AFA-8897-4D28-9F13-FBD01BDDCC3D}" name="F0_40mm" displayName="F0_40mm" ref="A30:B35" totalsRowShown="0" headerRowDxfId="8">
  <autoFilter ref="A30:B35" xr:uid="{E1424AFA-8897-4D28-9F13-FBD01BDDCC3D}"/>
  <tableColumns count="2">
    <tableColumn id="1" xr3:uid="{A04C0E7D-E091-4DB3-840F-C5CC463D1998}" name="Percentage" dataDxfId="7"/>
    <tableColumn id="2" xr3:uid="{C210EB48-7055-48C8-AC18-5369795D1E84}" name="Equation" dataDxfId="6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666E2DC-26E6-4255-8353-9FFECF2743CA}" name="F1_40mm" displayName="F1_40mm" ref="I31:J36" totalsRowShown="0" headerRowDxfId="5">
  <autoFilter ref="I31:J36" xr:uid="{B666E2DC-26E6-4255-8353-9FFECF2743CA}"/>
  <tableColumns count="2">
    <tableColumn id="1" xr3:uid="{21CCC304-EB16-4E0A-B3FF-0EB16373AD89}" name="Percentage" dataDxfId="4"/>
    <tableColumn id="2" xr3:uid="{F655FC08-AE49-4970-8917-A7AD2936A08C}" name="Equation" dataDxfId="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86FD89F-2853-45BD-8EDA-E3B2A98E4464}" name="F2_40mm" displayName="F2_40mm" ref="O39:P44" totalsRowShown="0" headerRowDxfId="2">
  <autoFilter ref="O39:P44" xr:uid="{786FD89F-2853-45BD-8EDA-E3B2A98E4464}"/>
  <tableColumns count="2">
    <tableColumn id="1" xr3:uid="{94BD1BA2-D9D1-47A8-A3A7-5985FC525721}" name="Percentage" dataDxfId="1"/>
    <tableColumn id="2" xr3:uid="{46A60523-4FF5-466A-873B-E6DD9E873294}" name="Equation" dataDxfId="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14000000}" name="Table106" displayName="Table106" ref="A1:B4" totalsRowShown="0">
  <autoFilter ref="A1:B4" xr:uid="{00000000-0009-0000-0100-00006A000000}"/>
  <tableColumns count="2">
    <tableColumn id="1" xr3:uid="{00000000-0010-0000-1400-000001000000}" name="Dropdown Option"/>
    <tableColumn id="2" xr3:uid="{00000000-0010-0000-1400-000002000000}" name="Corresponding Sheet Name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15000000}" name="Table106108" displayName="Table106108" ref="A1:B5" totalsRowShown="0">
  <autoFilter ref="A1:B5" xr:uid="{00000000-0009-0000-0100-00006B000000}"/>
  <tableColumns count="2">
    <tableColumn id="1" xr3:uid="{00000000-0010-0000-1500-000001000000}" name="Dropdown Option"/>
    <tableColumn id="2" xr3:uid="{00000000-0010-0000-1500-000002000000}" name="Corresponding Graph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13" Type="http://schemas.openxmlformats.org/officeDocument/2006/relationships/table" Target="../tables/table21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Relationship Id="rId14" Type="http://schemas.openxmlformats.org/officeDocument/2006/relationships/table" Target="../tables/table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drawing" Target="../drawings/drawing8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2"/>
  <sheetViews>
    <sheetView topLeftCell="J1" zoomScale="106" zoomScaleNormal="106" workbookViewId="0">
      <selection activeCell="D5" sqref="D5"/>
    </sheetView>
  </sheetViews>
  <sheetFormatPr defaultRowHeight="15" x14ac:dyDescent="0.25"/>
  <cols>
    <col min="1" max="1" width="9.140625" style="1"/>
    <col min="2" max="2" width="16.7109375" style="1" customWidth="1"/>
    <col min="3" max="3" width="14.42578125" style="1" customWidth="1"/>
    <col min="4" max="4" width="16.42578125" style="1" customWidth="1"/>
    <col min="5" max="6" width="9.140625" style="1"/>
    <col min="7" max="7" width="16.7109375" style="1" customWidth="1"/>
    <col min="8" max="8" width="14.42578125" style="1" customWidth="1"/>
    <col min="9" max="9" width="16.42578125" style="1" customWidth="1"/>
    <col min="10" max="11" width="9.140625" style="1"/>
    <col min="12" max="12" width="16.7109375" style="1" customWidth="1"/>
    <col min="13" max="13" width="14.42578125" style="1" customWidth="1"/>
    <col min="14" max="14" width="16.42578125" style="1" customWidth="1"/>
    <col min="15" max="16384" width="9.140625" style="1"/>
  </cols>
  <sheetData>
    <row r="1" spans="2:15" x14ac:dyDescent="0.25">
      <c r="B1" s="182" t="s">
        <v>3</v>
      </c>
      <c r="C1" s="182"/>
      <c r="D1" s="182"/>
      <c r="E1" s="182"/>
      <c r="G1" s="182" t="s">
        <v>4</v>
      </c>
      <c r="H1" s="182"/>
      <c r="I1" s="182"/>
      <c r="J1" s="182"/>
      <c r="L1" s="183" t="s">
        <v>5</v>
      </c>
      <c r="M1" s="183"/>
      <c r="N1" s="183"/>
      <c r="O1" s="183"/>
    </row>
    <row r="2" spans="2:15" x14ac:dyDescent="0.25">
      <c r="B2" s="172" t="s">
        <v>22</v>
      </c>
      <c r="C2" s="172" t="s">
        <v>0</v>
      </c>
      <c r="D2" s="172" t="s">
        <v>1</v>
      </c>
      <c r="E2" s="173" t="s">
        <v>2</v>
      </c>
      <c r="G2" s="172" t="s">
        <v>22</v>
      </c>
      <c r="H2" s="172" t="s">
        <v>0</v>
      </c>
      <c r="I2" s="172" t="s">
        <v>1</v>
      </c>
      <c r="J2" s="173" t="s">
        <v>2</v>
      </c>
      <c r="L2" s="172" t="s">
        <v>22</v>
      </c>
      <c r="M2" s="172" t="s">
        <v>0</v>
      </c>
      <c r="N2" s="172" t="s">
        <v>1</v>
      </c>
      <c r="O2" s="173" t="s">
        <v>2</v>
      </c>
    </row>
    <row r="3" spans="2:15" x14ac:dyDescent="0.25">
      <c r="B3" s="2">
        <v>45</v>
      </c>
      <c r="C3" s="3">
        <v>0.48499999999999999</v>
      </c>
      <c r="D3" s="3">
        <v>0.46500000000000002</v>
      </c>
      <c r="E3" s="169">
        <f>D3/C3</f>
        <v>0.95876288659793818</v>
      </c>
      <c r="G3" s="2">
        <v>35</v>
      </c>
      <c r="H3" s="3">
        <v>0.55000000000000004</v>
      </c>
      <c r="I3" s="3">
        <v>0.48</v>
      </c>
      <c r="J3" s="169">
        <f>I3/H3</f>
        <v>0.87272727272727257</v>
      </c>
      <c r="L3" s="2">
        <v>40</v>
      </c>
      <c r="M3" s="3">
        <v>0.51500000000000001</v>
      </c>
      <c r="N3" s="3">
        <v>0.505</v>
      </c>
      <c r="O3" s="169">
        <f>N3/M3</f>
        <v>0.98058252427184467</v>
      </c>
    </row>
    <row r="4" spans="2:15" x14ac:dyDescent="0.25">
      <c r="B4" s="2">
        <v>40</v>
      </c>
      <c r="C4" s="3">
        <v>0.51500000000000001</v>
      </c>
      <c r="D4" s="3">
        <v>0.495</v>
      </c>
      <c r="E4" s="169">
        <f>D4/C4</f>
        <v>0.96116504854368934</v>
      </c>
      <c r="G4" s="2">
        <v>33</v>
      </c>
      <c r="H4" s="3">
        <v>0.56999999999999995</v>
      </c>
      <c r="I4" s="3">
        <v>0.5</v>
      </c>
      <c r="J4" s="169">
        <f>I4/H4</f>
        <v>0.87719298245614041</v>
      </c>
      <c r="L4" s="2">
        <v>37</v>
      </c>
      <c r="M4" s="3">
        <v>0.53500000000000003</v>
      </c>
      <c r="N4" s="3">
        <v>0.53500000000000003</v>
      </c>
      <c r="O4" s="174">
        <f>N4/M4</f>
        <v>1</v>
      </c>
    </row>
    <row r="5" spans="2:15" x14ac:dyDescent="0.25">
      <c r="B5" s="2">
        <v>35</v>
      </c>
      <c r="C5" s="3">
        <v>0.55000000000000004</v>
      </c>
      <c r="D5" s="3">
        <v>0.53</v>
      </c>
      <c r="E5" s="169">
        <f>D5/C5</f>
        <v>0.96363636363636362</v>
      </c>
      <c r="G5" s="2">
        <v>30</v>
      </c>
      <c r="H5" s="3">
        <v>0.60499999999999998</v>
      </c>
      <c r="I5" s="3">
        <v>0.53500000000000003</v>
      </c>
      <c r="J5" s="169">
        <f>I5/H5</f>
        <v>0.88429752066115708</v>
      </c>
      <c r="L5" s="2">
        <v>35</v>
      </c>
      <c r="M5" s="3">
        <v>0.55000000000000004</v>
      </c>
      <c r="N5" s="3">
        <v>0.55000000000000004</v>
      </c>
      <c r="O5" s="174">
        <f>N5/M5</f>
        <v>1</v>
      </c>
    </row>
    <row r="6" spans="2:15" x14ac:dyDescent="0.25">
      <c r="B6" s="2">
        <v>30</v>
      </c>
      <c r="C6" s="3">
        <v>0.60499999999999998</v>
      </c>
      <c r="D6" s="3">
        <v>0.56499999999999995</v>
      </c>
      <c r="E6" s="169">
        <f>D6/C6</f>
        <v>0.93388429752066104</v>
      </c>
      <c r="G6" s="2">
        <v>29</v>
      </c>
      <c r="H6" s="3">
        <v>0.63</v>
      </c>
      <c r="I6" s="3">
        <v>0.55000000000000004</v>
      </c>
      <c r="J6" s="169">
        <f>I6/H6</f>
        <v>0.87301587301587313</v>
      </c>
      <c r="L6" s="2">
        <v>32</v>
      </c>
      <c r="M6" s="3">
        <v>0.57499999999999996</v>
      </c>
      <c r="N6" s="3">
        <v>0.58499999999999996</v>
      </c>
      <c r="O6" s="174">
        <f>N6/M6</f>
        <v>1.0173913043478262</v>
      </c>
    </row>
    <row r="7" spans="2:15" x14ac:dyDescent="0.25">
      <c r="B7" s="2"/>
      <c r="C7" s="2"/>
      <c r="D7" s="2"/>
      <c r="E7" s="170"/>
      <c r="G7" s="2"/>
      <c r="H7" s="2"/>
      <c r="I7" s="2"/>
      <c r="J7" s="170"/>
      <c r="L7" s="2">
        <v>30</v>
      </c>
      <c r="M7" s="3">
        <v>0.61499999999999999</v>
      </c>
      <c r="N7" s="3">
        <v>0.61499999999999999</v>
      </c>
      <c r="O7" s="174">
        <f>N7/M7</f>
        <v>1</v>
      </c>
    </row>
    <row r="8" spans="2:15" x14ac:dyDescent="0.25">
      <c r="D8" s="2" t="s">
        <v>6</v>
      </c>
      <c r="E8" s="171">
        <f>AVERAGE(E3:E7)</f>
        <v>0.9543621490746631</v>
      </c>
      <c r="I8" s="2" t="s">
        <v>6</v>
      </c>
      <c r="J8" s="171">
        <f>AVERAGE(J3:J7)</f>
        <v>0.87680841221511074</v>
      </c>
      <c r="N8" s="2" t="s">
        <v>6</v>
      </c>
      <c r="O8" s="171">
        <f>AVERAGE(O3:O7)</f>
        <v>0.99959476572393413</v>
      </c>
    </row>
    <row r="12" spans="2:15" x14ac:dyDescent="0.25">
      <c r="G12" s="1" t="s">
        <v>199</v>
      </c>
    </row>
  </sheetData>
  <mergeCells count="3">
    <mergeCell ref="B1:E1"/>
    <mergeCell ref="G1:J1"/>
    <mergeCell ref="L1:O1"/>
  </mergeCells>
  <conditionalFormatting sqref="E3:E7 J3:J7 O3:O7">
    <cfRule type="cellIs" dxfId="161" priority="11" stopIfTrue="1" operator="greaterThan">
      <formula>1</formula>
    </cfRule>
    <cfRule type="cellIs" dxfId="160" priority="12" stopIfTrue="1" operator="lessThan">
      <formula>1</formula>
    </cfRule>
  </conditionalFormatting>
  <conditionalFormatting sqref="O3:O7">
    <cfRule type="cellIs" dxfId="159" priority="8" stopIfTrue="1" operator="equal">
      <formula>1</formula>
    </cfRule>
    <cfRule type="cellIs" dxfId="158" priority="9" stopIfTrue="1" operator="greaterThan">
      <formula>1</formula>
    </cfRule>
  </conditionalFormatting>
  <conditionalFormatting sqref="O3:O8">
    <cfRule type="cellIs" dxfId="157" priority="7" stopIfTrue="1" operator="greaterThan">
      <formula>0.999999999999999</formula>
    </cfRule>
  </conditionalFormatting>
  <conditionalFormatting sqref="O8">
    <cfRule type="cellIs" dxfId="156" priority="1" stopIfTrue="1" operator="greaterThan">
      <formula>0.999</formula>
    </cfRule>
    <cfRule type="cellIs" dxfId="155" priority="2" stopIfTrue="1" operator="greaterThan">
      <formula>0.999</formula>
    </cfRule>
    <cfRule type="cellIs" dxfId="154" priority="3" stopIfTrue="1" operator="between">
      <formula>1</formula>
      <formula>1</formula>
    </cfRule>
    <cfRule type="cellIs" dxfId="153" priority="6" stopIfTrue="1" operator="equal">
      <formula>1</formula>
    </cfRule>
  </conditionalFormatting>
  <conditionalFormatting sqref="E8">
    <cfRule type="cellIs" dxfId="152" priority="5" stopIfTrue="1" operator="lessThan">
      <formula>1</formula>
    </cfRule>
  </conditionalFormatting>
  <conditionalFormatting sqref="J8">
    <cfRule type="cellIs" dxfId="151" priority="4" stopIfTrue="1" operator="lessThan">
      <formula>1</formula>
    </cfRule>
  </conditionalFormatting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O58"/>
  <sheetViews>
    <sheetView topLeftCell="E1" workbookViewId="0">
      <selection activeCell="L4" sqref="L4"/>
    </sheetView>
  </sheetViews>
  <sheetFormatPr defaultRowHeight="15.75" x14ac:dyDescent="0.25"/>
  <cols>
    <col min="1" max="1" width="9.140625" style="41"/>
    <col min="2" max="2" width="17.7109375" style="41" customWidth="1"/>
    <col min="3" max="3" width="15.28515625" style="41" customWidth="1"/>
    <col min="4" max="4" width="17.42578125" style="41" customWidth="1"/>
    <col min="5" max="6" width="9.140625" style="41"/>
    <col min="7" max="7" width="17.7109375" style="41" customWidth="1"/>
    <col min="8" max="8" width="15.28515625" style="41" customWidth="1"/>
    <col min="9" max="9" width="17.42578125" style="41" customWidth="1"/>
    <col min="10" max="11" width="9.140625" style="41"/>
    <col min="12" max="12" width="17.7109375" style="41" customWidth="1"/>
    <col min="13" max="13" width="15.28515625" style="41" customWidth="1"/>
    <col min="14" max="14" width="17.42578125" style="41" customWidth="1"/>
    <col min="15" max="15" width="9.5703125" style="41" bestFit="1" customWidth="1"/>
    <col min="16" max="16384" width="9.140625" style="41"/>
  </cols>
  <sheetData>
    <row r="1" spans="2:15" x14ac:dyDescent="0.25">
      <c r="B1" s="187" t="s">
        <v>3</v>
      </c>
      <c r="C1" s="187"/>
      <c r="D1" s="187"/>
      <c r="E1" s="187"/>
      <c r="F1" s="65"/>
      <c r="G1" s="187" t="s">
        <v>4</v>
      </c>
      <c r="H1" s="187"/>
      <c r="I1" s="187"/>
      <c r="J1" s="187"/>
      <c r="K1" s="65"/>
      <c r="L1" s="187" t="s">
        <v>5</v>
      </c>
      <c r="M1" s="187"/>
      <c r="N1" s="187"/>
      <c r="O1" s="187"/>
    </row>
    <row r="2" spans="2:15" x14ac:dyDescent="0.25">
      <c r="B2" s="177" t="s">
        <v>22</v>
      </c>
      <c r="C2" s="178" t="s">
        <v>0</v>
      </c>
      <c r="D2" s="178" t="s">
        <v>1</v>
      </c>
      <c r="E2" s="179" t="s">
        <v>2</v>
      </c>
      <c r="F2" s="65"/>
      <c r="G2" s="177" t="s">
        <v>22</v>
      </c>
      <c r="H2" s="178" t="s">
        <v>0</v>
      </c>
      <c r="I2" s="178" t="s">
        <v>1</v>
      </c>
      <c r="J2" s="179" t="s">
        <v>2</v>
      </c>
      <c r="K2" s="65"/>
      <c r="L2" s="177" t="s">
        <v>22</v>
      </c>
      <c r="M2" s="178" t="s">
        <v>0</v>
      </c>
      <c r="N2" s="178" t="s">
        <v>1</v>
      </c>
      <c r="O2" s="179" t="s">
        <v>2</v>
      </c>
    </row>
    <row r="3" spans="2:15" x14ac:dyDescent="0.25">
      <c r="B3" s="52">
        <v>60</v>
      </c>
      <c r="C3" s="66">
        <v>0.49</v>
      </c>
      <c r="D3" s="66">
        <v>0.45500000000000002</v>
      </c>
      <c r="E3" s="175">
        <f>D3/C3</f>
        <v>0.9285714285714286</v>
      </c>
      <c r="G3" s="52">
        <v>60</v>
      </c>
      <c r="H3" s="66">
        <v>0.49</v>
      </c>
      <c r="I3" s="66">
        <v>0.505</v>
      </c>
      <c r="J3" s="180">
        <f>I3/H3</f>
        <v>1.0306122448979591</v>
      </c>
      <c r="L3" s="52">
        <v>55</v>
      </c>
      <c r="M3" s="66">
        <v>0.52</v>
      </c>
      <c r="N3" s="66">
        <v>0.45</v>
      </c>
      <c r="O3" s="175">
        <f>N3/M3</f>
        <v>0.86538461538461542</v>
      </c>
    </row>
    <row r="4" spans="2:15" x14ac:dyDescent="0.25">
      <c r="B4" s="52">
        <v>55</v>
      </c>
      <c r="C4" s="66">
        <v>0.52</v>
      </c>
      <c r="D4" s="66">
        <v>0.47</v>
      </c>
      <c r="E4" s="175">
        <f>D4/C4</f>
        <v>0.90384615384615374</v>
      </c>
      <c r="G4" s="52">
        <v>55</v>
      </c>
      <c r="H4" s="66">
        <v>0.52500000000000002</v>
      </c>
      <c r="I4" s="66">
        <v>0.54</v>
      </c>
      <c r="J4" s="180">
        <f>I4/H4</f>
        <v>1.0285714285714287</v>
      </c>
      <c r="L4" s="52">
        <v>40</v>
      </c>
      <c r="M4" s="66">
        <v>0.55000000000000004</v>
      </c>
      <c r="N4" s="66">
        <v>0.48</v>
      </c>
      <c r="O4" s="175">
        <f>N4/M4</f>
        <v>0.87272727272727257</v>
      </c>
    </row>
    <row r="5" spans="2:15" x14ac:dyDescent="0.25">
      <c r="B5" s="52">
        <v>50</v>
      </c>
      <c r="C5" s="66">
        <v>0.55000000000000004</v>
      </c>
      <c r="D5" s="66">
        <v>0.49</v>
      </c>
      <c r="E5" s="175">
        <f>D5/C5</f>
        <v>0.89090909090909087</v>
      </c>
      <c r="G5" s="52">
        <v>50</v>
      </c>
      <c r="H5" s="66">
        <v>0.55000000000000004</v>
      </c>
      <c r="I5" s="66">
        <v>0.56999999999999995</v>
      </c>
      <c r="J5" s="180">
        <f>I5/H5</f>
        <v>1.0363636363636362</v>
      </c>
      <c r="L5" s="52">
        <v>45</v>
      </c>
      <c r="M5" s="66">
        <v>0.56999999999999995</v>
      </c>
      <c r="N5" s="66">
        <v>0.52</v>
      </c>
      <c r="O5" s="175">
        <f>N5/M5</f>
        <v>0.91228070175438603</v>
      </c>
    </row>
    <row r="6" spans="2:15" x14ac:dyDescent="0.25">
      <c r="B6" s="52">
        <v>45</v>
      </c>
      <c r="C6" s="66">
        <v>0.56999999999999995</v>
      </c>
      <c r="D6" s="66">
        <v>0.51</v>
      </c>
      <c r="E6" s="175">
        <f>D6/C6</f>
        <v>0.89473684210526327</v>
      </c>
      <c r="G6" s="52">
        <v>45</v>
      </c>
      <c r="H6" s="66">
        <v>0.56999999999999995</v>
      </c>
      <c r="I6" s="66">
        <v>0.59499999999999997</v>
      </c>
      <c r="J6" s="180">
        <f>I6/H6</f>
        <v>1.0438596491228072</v>
      </c>
      <c r="L6" s="52">
        <v>40</v>
      </c>
      <c r="M6" s="66">
        <v>0.59</v>
      </c>
      <c r="N6" s="66">
        <v>0.56999999999999995</v>
      </c>
      <c r="O6" s="175">
        <f>N6/M6</f>
        <v>0.96610169491525422</v>
      </c>
    </row>
    <row r="7" spans="2:15" x14ac:dyDescent="0.25">
      <c r="B7" s="52">
        <v>40</v>
      </c>
      <c r="C7" s="66">
        <v>0.59</v>
      </c>
      <c r="D7" s="66">
        <v>0.53</v>
      </c>
      <c r="E7" s="175">
        <f>D7/C7</f>
        <v>0.89830508474576276</v>
      </c>
      <c r="G7" s="52">
        <v>40</v>
      </c>
      <c r="H7" s="66">
        <v>0.59</v>
      </c>
      <c r="I7" s="66">
        <v>0.62</v>
      </c>
      <c r="J7" s="180">
        <f>I7/H7</f>
        <v>1.0508474576271187</v>
      </c>
      <c r="L7" s="52"/>
      <c r="M7" s="52"/>
      <c r="N7" s="52"/>
      <c r="O7" s="14"/>
    </row>
    <row r="8" spans="2:15" x14ac:dyDescent="0.25">
      <c r="D8" s="52" t="s">
        <v>6</v>
      </c>
      <c r="E8" s="176">
        <f>AVERAGE(E3:E7)</f>
        <v>0.90327372003553985</v>
      </c>
      <c r="I8" s="52" t="s">
        <v>6</v>
      </c>
      <c r="J8" s="181">
        <f>AVERAGE(J3:J7)</f>
        <v>1.03805088331659</v>
      </c>
      <c r="N8" s="52" t="s">
        <v>6</v>
      </c>
      <c r="O8" s="176">
        <f>AVERAGE(O3:O7)</f>
        <v>0.90412357119538211</v>
      </c>
    </row>
    <row r="9" spans="2:15" x14ac:dyDescent="0.25">
      <c r="D9" s="68"/>
      <c r="E9" s="69"/>
      <c r="I9" s="68"/>
      <c r="J9" s="70"/>
      <c r="N9" s="68"/>
      <c r="O9" s="69"/>
    </row>
    <row r="10" spans="2:15" x14ac:dyDescent="0.25">
      <c r="D10" s="68"/>
      <c r="E10" s="69"/>
      <c r="I10" s="68"/>
      <c r="J10" s="70"/>
      <c r="N10" s="68"/>
      <c r="O10" s="69"/>
    </row>
    <row r="11" spans="2:15" x14ac:dyDescent="0.25">
      <c r="D11" s="68"/>
      <c r="E11" s="69"/>
      <c r="I11" s="68"/>
      <c r="J11" s="70"/>
      <c r="N11" s="68"/>
      <c r="O11" s="69"/>
    </row>
    <row r="12" spans="2:15" x14ac:dyDescent="0.25">
      <c r="D12" s="68"/>
      <c r="E12" s="69"/>
      <c r="I12" s="68"/>
      <c r="J12" s="70"/>
      <c r="N12" s="68"/>
      <c r="O12" s="69"/>
    </row>
    <row r="14" spans="2:15" ht="16.5" thickBot="1" x14ac:dyDescent="0.3">
      <c r="B14" s="188" t="s">
        <v>31</v>
      </c>
      <c r="C14" s="188"/>
      <c r="D14" s="188"/>
      <c r="E14" s="188"/>
      <c r="F14" s="188"/>
    </row>
    <row r="15" spans="2:15" ht="16.5" thickTop="1" x14ac:dyDescent="0.25">
      <c r="B15" s="189" t="s">
        <v>11</v>
      </c>
      <c r="C15" s="191" t="s">
        <v>32</v>
      </c>
      <c r="D15" s="191"/>
      <c r="E15" s="191"/>
      <c r="F15" s="191"/>
    </row>
    <row r="16" spans="2:15" ht="16.5" thickBot="1" x14ac:dyDescent="0.3">
      <c r="B16" s="190"/>
      <c r="C16" s="63">
        <v>0</v>
      </c>
      <c r="D16" s="63">
        <v>0.05</v>
      </c>
      <c r="E16" s="63">
        <v>0.1</v>
      </c>
      <c r="F16" s="63">
        <v>0.15</v>
      </c>
    </row>
    <row r="17" spans="2:6" ht="16.5" thickTop="1" x14ac:dyDescent="0.25">
      <c r="B17" s="60">
        <v>0.4</v>
      </c>
      <c r="C17" s="61">
        <v>65.099999999999994</v>
      </c>
      <c r="D17" s="61" t="s">
        <v>24</v>
      </c>
      <c r="E17" s="61" t="s">
        <v>24</v>
      </c>
      <c r="F17" s="61" t="s">
        <v>24</v>
      </c>
    </row>
    <row r="18" spans="2:6" x14ac:dyDescent="0.25">
      <c r="B18" s="60">
        <v>0.45</v>
      </c>
      <c r="C18" s="61">
        <v>62.4</v>
      </c>
      <c r="D18" s="61">
        <v>62.9</v>
      </c>
      <c r="E18" s="61">
        <v>66</v>
      </c>
      <c r="F18" s="61">
        <v>51.9</v>
      </c>
    </row>
    <row r="19" spans="2:6" x14ac:dyDescent="0.25">
      <c r="B19" s="60">
        <v>0.5</v>
      </c>
      <c r="C19" s="61">
        <v>59.1</v>
      </c>
      <c r="D19" s="61">
        <v>44.7</v>
      </c>
      <c r="E19" s="61">
        <v>60.9</v>
      </c>
      <c r="F19" s="61">
        <v>51.7</v>
      </c>
    </row>
    <row r="20" spans="2:6" x14ac:dyDescent="0.25">
      <c r="B20" s="60">
        <v>0.55000000000000004</v>
      </c>
      <c r="C20" s="61">
        <v>49.8</v>
      </c>
      <c r="D20" s="61">
        <v>36.700000000000003</v>
      </c>
      <c r="E20" s="61">
        <v>52.2</v>
      </c>
      <c r="F20" s="61">
        <v>40.200000000000003</v>
      </c>
    </row>
    <row r="21" spans="2:6" x14ac:dyDescent="0.25">
      <c r="B21" s="60">
        <v>0.6</v>
      </c>
      <c r="C21" s="61">
        <v>37.200000000000003</v>
      </c>
      <c r="D21" s="61">
        <v>33.299999999999997</v>
      </c>
      <c r="E21" s="61">
        <v>44.4</v>
      </c>
      <c r="F21" s="61">
        <v>38.4</v>
      </c>
    </row>
    <row r="22" spans="2:6" ht="16.5" thickBot="1" x14ac:dyDescent="0.3">
      <c r="B22" s="62">
        <v>0.65</v>
      </c>
      <c r="C22" s="8" t="s">
        <v>24</v>
      </c>
      <c r="D22" s="8">
        <v>27.6</v>
      </c>
      <c r="E22" s="8">
        <v>34.200000000000003</v>
      </c>
      <c r="F22" s="8">
        <v>31.8</v>
      </c>
    </row>
    <row r="23" spans="2:6" ht="16.5" thickTop="1" x14ac:dyDescent="0.25">
      <c r="B23" s="60" t="s">
        <v>6</v>
      </c>
      <c r="C23" s="61">
        <v>52.1</v>
      </c>
      <c r="D23" s="61">
        <v>44.4</v>
      </c>
      <c r="E23" s="61">
        <v>55.9</v>
      </c>
      <c r="F23" s="61">
        <v>45.7</v>
      </c>
    </row>
    <row r="47" spans="3:10" ht="16.5" thickBot="1" x14ac:dyDescent="0.3"/>
    <row r="48" spans="3:10" ht="16.5" thickBot="1" x14ac:dyDescent="0.3">
      <c r="C48" s="184" t="s">
        <v>27</v>
      </c>
      <c r="D48" s="185"/>
      <c r="E48" s="186"/>
      <c r="H48" s="184" t="s">
        <v>27</v>
      </c>
      <c r="I48" s="185"/>
      <c r="J48" s="186"/>
    </row>
    <row r="49" spans="3:11" ht="31.5" customHeight="1" thickBot="1" x14ac:dyDescent="0.3">
      <c r="C49" s="64" t="s">
        <v>33</v>
      </c>
      <c r="D49" s="67" t="s">
        <v>25</v>
      </c>
      <c r="E49" s="44" t="s">
        <v>28</v>
      </c>
      <c r="H49" s="64" t="s">
        <v>33</v>
      </c>
      <c r="I49" s="67" t="s">
        <v>25</v>
      </c>
      <c r="J49" s="44" t="s">
        <v>28</v>
      </c>
      <c r="K49" s="41" t="s">
        <v>2</v>
      </c>
    </row>
    <row r="50" spans="3:11" ht="63.75" thickBot="1" x14ac:dyDescent="0.3">
      <c r="C50" s="45">
        <v>20</v>
      </c>
      <c r="D50" s="52">
        <f>-0.0003*(C50*C50)+0.0195*C50+0.2264</f>
        <v>0.49640000000000001</v>
      </c>
      <c r="E50" s="47">
        <f>0.0002*C50*C50-0.0218*C50+1.1198</f>
        <v>0.76379999999999992</v>
      </c>
      <c r="H50" s="45">
        <v>20</v>
      </c>
      <c r="I50" s="72" t="s">
        <v>34</v>
      </c>
      <c r="J50" s="71">
        <f>-6*10^(-5)*H50*H50 - 7*10^(-5)*H50 + 0.723</f>
        <v>0.6976</v>
      </c>
      <c r="K50" s="41" t="e">
        <f>J50/I50</f>
        <v>#VALUE!</v>
      </c>
    </row>
    <row r="51" spans="3:11" ht="16.5" thickBot="1" x14ac:dyDescent="0.3">
      <c r="C51" s="51">
        <v>25</v>
      </c>
      <c r="D51" s="52">
        <f t="shared" ref="D51:D58" si="0">-0.0003*(C51*C51)+0.0195*C51+0.2264</f>
        <v>0.52639999999999998</v>
      </c>
      <c r="E51" s="47">
        <f t="shared" ref="E51:E58" si="1">0.0002*C51*C51-0.0218*C51+1.1198</f>
        <v>0.69979999999999987</v>
      </c>
      <c r="H51" s="51">
        <v>25</v>
      </c>
      <c r="I51" s="52">
        <f t="shared" ref="I51:I58" si="2">-0.0003*(H51*H51)+0.0195*H51+0.2264</f>
        <v>0.52639999999999998</v>
      </c>
      <c r="J51" s="71">
        <f t="shared" ref="J51:J58" si="3">-6*10^(-5)*H51*H51 - 7*10^(-5)*H51 + 0.723</f>
        <v>0.68374999999999997</v>
      </c>
      <c r="K51" s="41">
        <f t="shared" ref="K51:K58" si="4">J51/I51</f>
        <v>1.2989171732522797</v>
      </c>
    </row>
    <row r="52" spans="3:11" ht="16.5" thickBot="1" x14ac:dyDescent="0.3">
      <c r="C52" s="51">
        <v>30</v>
      </c>
      <c r="D52" s="52">
        <f t="shared" si="0"/>
        <v>0.54139999999999999</v>
      </c>
      <c r="E52" s="47">
        <f t="shared" si="1"/>
        <v>0.64579999999999993</v>
      </c>
      <c r="H52" s="51">
        <v>30</v>
      </c>
      <c r="I52" s="52">
        <f t="shared" si="2"/>
        <v>0.54139999999999999</v>
      </c>
      <c r="J52" s="71">
        <f t="shared" si="3"/>
        <v>0.66689999999999994</v>
      </c>
      <c r="K52" s="41">
        <f t="shared" si="4"/>
        <v>1.23180642777983</v>
      </c>
    </row>
    <row r="53" spans="3:11" ht="16.5" thickBot="1" x14ac:dyDescent="0.3">
      <c r="C53" s="51">
        <v>35</v>
      </c>
      <c r="D53" s="52">
        <f t="shared" si="0"/>
        <v>0.54139999999999999</v>
      </c>
      <c r="E53" s="47">
        <f t="shared" si="1"/>
        <v>0.60179999999999989</v>
      </c>
      <c r="H53" s="51">
        <v>35</v>
      </c>
      <c r="I53" s="52">
        <f t="shared" si="2"/>
        <v>0.54139999999999999</v>
      </c>
      <c r="J53" s="71">
        <f t="shared" si="3"/>
        <v>0.64705000000000001</v>
      </c>
      <c r="K53" s="41">
        <f t="shared" si="4"/>
        <v>1.1951422238640561</v>
      </c>
    </row>
    <row r="54" spans="3:11" ht="16.5" thickBot="1" x14ac:dyDescent="0.3">
      <c r="C54" s="51">
        <v>40</v>
      </c>
      <c r="D54" s="52">
        <f t="shared" si="0"/>
        <v>0.52639999999999998</v>
      </c>
      <c r="E54" s="47">
        <f t="shared" si="1"/>
        <v>0.56779999999999986</v>
      </c>
      <c r="H54" s="51">
        <v>40</v>
      </c>
      <c r="I54" s="52">
        <f t="shared" si="2"/>
        <v>0.52639999999999998</v>
      </c>
      <c r="J54" s="71">
        <f t="shared" si="3"/>
        <v>0.62419999999999998</v>
      </c>
      <c r="K54" s="41">
        <f t="shared" si="4"/>
        <v>1.1857902735562309</v>
      </c>
    </row>
    <row r="55" spans="3:11" ht="16.5" thickBot="1" x14ac:dyDescent="0.3">
      <c r="C55" s="51">
        <v>45</v>
      </c>
      <c r="D55" s="52">
        <f t="shared" si="0"/>
        <v>0.49640000000000001</v>
      </c>
      <c r="E55" s="47">
        <f t="shared" si="1"/>
        <v>0.54379999999999995</v>
      </c>
      <c r="H55" s="51">
        <v>45</v>
      </c>
      <c r="I55" s="52">
        <f t="shared" si="2"/>
        <v>0.49640000000000001</v>
      </c>
      <c r="J55" s="71">
        <f t="shared" si="3"/>
        <v>0.59834999999999994</v>
      </c>
      <c r="K55" s="41">
        <f t="shared" si="4"/>
        <v>1.2053787268331988</v>
      </c>
    </row>
    <row r="56" spans="3:11" ht="16.5" thickBot="1" x14ac:dyDescent="0.3">
      <c r="C56" s="51">
        <v>50</v>
      </c>
      <c r="D56" s="52">
        <f t="shared" si="0"/>
        <v>0.45140000000000008</v>
      </c>
      <c r="E56" s="47">
        <f t="shared" si="1"/>
        <v>0.52979999999999983</v>
      </c>
      <c r="H56" s="51">
        <v>50</v>
      </c>
      <c r="I56" s="52">
        <f t="shared" si="2"/>
        <v>0.45140000000000008</v>
      </c>
      <c r="J56" s="71">
        <f t="shared" si="3"/>
        <v>0.5694999999999999</v>
      </c>
      <c r="K56" s="41">
        <f t="shared" si="4"/>
        <v>1.261630482941958</v>
      </c>
    </row>
    <row r="57" spans="3:11" ht="16.5" thickBot="1" x14ac:dyDescent="0.3">
      <c r="C57" s="51">
        <v>55</v>
      </c>
      <c r="D57" s="52">
        <f t="shared" si="0"/>
        <v>0.39140000000000003</v>
      </c>
      <c r="E57" s="47">
        <f t="shared" si="1"/>
        <v>0.52579999999999993</v>
      </c>
      <c r="H57" s="51">
        <v>55</v>
      </c>
      <c r="I57" s="52">
        <f t="shared" si="2"/>
        <v>0.39140000000000003</v>
      </c>
      <c r="J57" s="71">
        <f t="shared" si="3"/>
        <v>0.53764999999999996</v>
      </c>
      <c r="K57" s="41">
        <f t="shared" si="4"/>
        <v>1.373658661216147</v>
      </c>
    </row>
    <row r="58" spans="3:11" ht="16.5" thickBot="1" x14ac:dyDescent="0.3">
      <c r="C58" s="54">
        <v>60</v>
      </c>
      <c r="D58" s="52">
        <f t="shared" si="0"/>
        <v>0.31640000000000007</v>
      </c>
      <c r="E58" s="47">
        <f t="shared" si="1"/>
        <v>0.53179999999999983</v>
      </c>
      <c r="H58" s="54">
        <v>60</v>
      </c>
      <c r="I58" s="52">
        <f t="shared" si="2"/>
        <v>0.31640000000000007</v>
      </c>
      <c r="J58" s="71">
        <f t="shared" si="3"/>
        <v>0.50279999999999991</v>
      </c>
      <c r="K58" s="41">
        <f t="shared" si="4"/>
        <v>1.5891276864728185</v>
      </c>
    </row>
  </sheetData>
  <mergeCells count="8">
    <mergeCell ref="C48:E48"/>
    <mergeCell ref="H48:J48"/>
    <mergeCell ref="B1:E1"/>
    <mergeCell ref="G1:J1"/>
    <mergeCell ref="L1:O1"/>
    <mergeCell ref="B14:F14"/>
    <mergeCell ref="B15:B16"/>
    <mergeCell ref="C15:F15"/>
  </mergeCells>
  <conditionalFormatting sqref="E3:E12 J3:J12 O3:O12">
    <cfRule type="cellIs" dxfId="129" priority="1" stopIfTrue="1" operator="greaterThan">
      <formula>1</formula>
    </cfRule>
    <cfRule type="cellIs" dxfId="128" priority="2" stopIfTrue="1" operator="lessThan">
      <formula>1</formula>
    </cfRule>
  </conditionalFormatting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97D16-70C1-489F-BB6D-B06523EC3A80}">
  <sheetPr codeName="Sheet16"/>
  <dimension ref="A1:B6"/>
  <sheetViews>
    <sheetView tabSelected="1" workbookViewId="0">
      <selection activeCell="B1" sqref="B1"/>
    </sheetView>
  </sheetViews>
  <sheetFormatPr defaultRowHeight="15" x14ac:dyDescent="0.25"/>
  <cols>
    <col min="1" max="1" width="24.140625" customWidth="1"/>
  </cols>
  <sheetData>
    <row r="1" spans="1:2" x14ac:dyDescent="0.25">
      <c r="A1" t="s">
        <v>196</v>
      </c>
      <c r="B1" t="s">
        <v>270</v>
      </c>
    </row>
    <row r="2" spans="1:2" x14ac:dyDescent="0.25">
      <c r="A2" t="s">
        <v>197</v>
      </c>
      <c r="B2" t="s">
        <v>271</v>
      </c>
    </row>
    <row r="3" spans="1:2" x14ac:dyDescent="0.25">
      <c r="A3" t="s">
        <v>2</v>
      </c>
      <c r="B3">
        <v>0</v>
      </c>
    </row>
    <row r="4" spans="1:2" x14ac:dyDescent="0.25">
      <c r="A4" t="s">
        <v>11</v>
      </c>
      <c r="B4">
        <v>0.45</v>
      </c>
    </row>
    <row r="5" spans="1:2" x14ac:dyDescent="0.25">
      <c r="A5" t="s">
        <v>32</v>
      </c>
      <c r="B5" s="161">
        <v>0.05</v>
      </c>
    </row>
    <row r="6" spans="1:2" x14ac:dyDescent="0.25">
      <c r="A6" t="s">
        <v>31</v>
      </c>
    </row>
  </sheetData>
  <dataValidations count="4">
    <dataValidation type="list" allowBlank="1" showInputMessage="1" showErrorMessage="1" sqref="B1" xr:uid="{C65AF19E-9B60-4122-BF57-5099AE633851}">
      <formula1>"I,II"</formula1>
    </dataValidation>
    <dataValidation type="list" allowBlank="1" showInputMessage="1" showErrorMessage="1" sqref="B2" xr:uid="{0EC6FA34-5AC8-4F59-B5B0-CB8E261F2D0E}">
      <formula1>"B,C,D"</formula1>
    </dataValidation>
    <dataValidation type="list" allowBlank="1" showInputMessage="1" showErrorMessage="1" sqref="B5" xr:uid="{9E64A0B9-97D3-4767-9FC7-F025425FB43E}">
      <formula1>"0%,5%,10%,15%"</formula1>
    </dataValidation>
    <dataValidation type="list" allowBlank="1" showInputMessage="1" showErrorMessage="1" sqref="B4" xr:uid="{D2AF720E-7C02-486A-B9AC-8A63309AF411}">
      <formula1>"0.4,0.45,0.5,0.55,0.6,0.65"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7"/>
  <sheetViews>
    <sheetView topLeftCell="A4" workbookViewId="0">
      <selection activeCell="B9" sqref="B9"/>
    </sheetView>
  </sheetViews>
  <sheetFormatPr defaultRowHeight="15" x14ac:dyDescent="0.25"/>
  <cols>
    <col min="1" max="1" width="9.42578125" customWidth="1"/>
    <col min="2" max="2" width="27.85546875" customWidth="1"/>
    <col min="3" max="3" width="11.85546875" customWidth="1"/>
    <col min="4" max="4" width="9" customWidth="1"/>
    <col min="5" max="5" width="28.28515625" customWidth="1"/>
    <col min="6" max="6" width="13.7109375" customWidth="1"/>
    <col min="7" max="7" width="8.85546875" customWidth="1"/>
    <col min="8" max="8" width="27.5703125" customWidth="1"/>
    <col min="10" max="10" width="9.5703125" customWidth="1"/>
    <col min="11" max="11" width="28.28515625" customWidth="1"/>
    <col min="12" max="12" width="27.5703125" customWidth="1"/>
  </cols>
  <sheetData>
    <row r="1" spans="1:11" x14ac:dyDescent="0.25">
      <c r="A1" s="192" t="s">
        <v>180</v>
      </c>
      <c r="B1" s="193"/>
      <c r="D1" s="192" t="s">
        <v>181</v>
      </c>
      <c r="E1" s="192"/>
      <c r="G1" s="192" t="s">
        <v>182</v>
      </c>
      <c r="H1" s="192"/>
      <c r="J1" s="192" t="s">
        <v>183</v>
      </c>
      <c r="K1" s="192"/>
    </row>
    <row r="2" spans="1:11" x14ac:dyDescent="0.25">
      <c r="A2" t="s">
        <v>11</v>
      </c>
      <c r="B2" t="s">
        <v>185</v>
      </c>
      <c r="D2" t="s">
        <v>11</v>
      </c>
      <c r="E2" t="s">
        <v>185</v>
      </c>
      <c r="G2" t="s">
        <v>11</v>
      </c>
      <c r="H2" t="s">
        <v>185</v>
      </c>
      <c r="J2" t="s">
        <v>11</v>
      </c>
      <c r="K2" t="s">
        <v>185</v>
      </c>
    </row>
    <row r="3" spans="1:11" ht="15.75" x14ac:dyDescent="0.25">
      <c r="A3" s="60">
        <v>0.4</v>
      </c>
      <c r="B3" s="61">
        <v>65.099999999999994</v>
      </c>
      <c r="D3" s="60">
        <v>0.45</v>
      </c>
      <c r="E3" s="61">
        <v>62.9</v>
      </c>
      <c r="G3" s="60">
        <v>0.45</v>
      </c>
      <c r="H3" s="61">
        <v>66</v>
      </c>
      <c r="J3" s="60">
        <v>0.45</v>
      </c>
      <c r="K3" s="61">
        <v>51.9</v>
      </c>
    </row>
    <row r="4" spans="1:11" ht="15.75" x14ac:dyDescent="0.25">
      <c r="A4" s="60">
        <v>0.45</v>
      </c>
      <c r="B4" s="61">
        <v>62.4</v>
      </c>
      <c r="D4" s="60">
        <v>0.5</v>
      </c>
      <c r="E4" s="61">
        <v>44.7</v>
      </c>
      <c r="G4" s="60">
        <v>0.5</v>
      </c>
      <c r="H4" s="61">
        <v>60.9</v>
      </c>
      <c r="J4" s="60">
        <v>0.5</v>
      </c>
      <c r="K4" s="61">
        <v>51.7</v>
      </c>
    </row>
    <row r="5" spans="1:11" ht="15.75" x14ac:dyDescent="0.25">
      <c r="A5" s="60">
        <v>0.5</v>
      </c>
      <c r="B5" s="61">
        <v>59.1</v>
      </c>
      <c r="D5" s="60">
        <v>0.55000000000000004</v>
      </c>
      <c r="E5" s="61">
        <v>36.700000000000003</v>
      </c>
      <c r="G5" s="60">
        <v>0.55000000000000004</v>
      </c>
      <c r="H5" s="61">
        <v>52.2</v>
      </c>
      <c r="J5" s="60">
        <v>0.55000000000000004</v>
      </c>
      <c r="K5" s="61">
        <v>40.200000000000003</v>
      </c>
    </row>
    <row r="6" spans="1:11" ht="15.75" x14ac:dyDescent="0.25">
      <c r="A6" s="60">
        <v>0.55000000000000004</v>
      </c>
      <c r="B6" s="61">
        <v>49.8</v>
      </c>
      <c r="D6" s="60">
        <v>0.6</v>
      </c>
      <c r="E6" s="61">
        <v>33.299999999999997</v>
      </c>
      <c r="G6" s="60">
        <v>0.6</v>
      </c>
      <c r="H6" s="61">
        <v>44.4</v>
      </c>
      <c r="J6" s="60">
        <v>0.6</v>
      </c>
      <c r="K6" s="61">
        <v>38.4</v>
      </c>
    </row>
    <row r="7" spans="1:11" ht="15.75" x14ac:dyDescent="0.25">
      <c r="A7" s="60">
        <v>0.6</v>
      </c>
      <c r="B7" s="61">
        <v>37.200000000000003</v>
      </c>
      <c r="D7" s="162">
        <v>0.65</v>
      </c>
      <c r="E7" s="27">
        <v>27.6</v>
      </c>
      <c r="G7" s="162">
        <v>0.65</v>
      </c>
      <c r="H7" s="27">
        <v>34.200000000000003</v>
      </c>
      <c r="J7" s="162">
        <v>0.65</v>
      </c>
      <c r="K7" s="27">
        <v>31.8</v>
      </c>
    </row>
  </sheetData>
  <mergeCells count="4">
    <mergeCell ref="J1:K1"/>
    <mergeCell ref="A1:B1"/>
    <mergeCell ref="D1:E1"/>
    <mergeCell ref="G1:H1"/>
  </mergeCell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3"/>
  <sheetViews>
    <sheetView workbookViewId="0">
      <selection activeCell="B12" sqref="B12"/>
    </sheetView>
  </sheetViews>
  <sheetFormatPr defaultRowHeight="15" x14ac:dyDescent="0.25"/>
  <cols>
    <col min="1" max="1" width="27.28515625" customWidth="1"/>
    <col min="2" max="2" width="27.7109375" customWidth="1"/>
    <col min="3" max="3" width="11.5703125" customWidth="1"/>
  </cols>
  <sheetData>
    <row r="1" spans="1:3" x14ac:dyDescent="0.25">
      <c r="A1" t="s">
        <v>29</v>
      </c>
      <c r="B1" s="161">
        <v>0.05</v>
      </c>
    </row>
    <row r="2" spans="1:3" x14ac:dyDescent="0.25">
      <c r="A2" t="s">
        <v>165</v>
      </c>
      <c r="B2" t="s">
        <v>126</v>
      </c>
      <c r="C2" t="s">
        <v>11</v>
      </c>
    </row>
    <row r="3" spans="1:3" x14ac:dyDescent="0.25">
      <c r="A3" t="s">
        <v>184</v>
      </c>
      <c r="B3">
        <v>0.6</v>
      </c>
      <c r="C3" s="163"/>
    </row>
  </sheetData>
  <dataValidations count="2">
    <dataValidation type="list" allowBlank="1" showInputMessage="1" showErrorMessage="1" sqref="B2" xr:uid="{00000000-0002-0000-0300-000000000000}">
      <formula1>"Compressive Strength (MPa),w/b ratio"</formula1>
    </dataValidation>
    <dataValidation type="list" allowBlank="1" showInputMessage="1" showErrorMessage="1" sqref="B1" xr:uid="{00000000-0002-0000-0300-000001000000}">
      <formula1>"0%,5%,10%,15%"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60"/>
  <sheetViews>
    <sheetView workbookViewId="0">
      <selection activeCell="I3" sqref="I3"/>
    </sheetView>
  </sheetViews>
  <sheetFormatPr defaultRowHeight="15.75" x14ac:dyDescent="0.25"/>
  <cols>
    <col min="1" max="1" width="9.140625" style="41"/>
    <col min="2" max="2" width="19" style="41" bestFit="1" customWidth="1"/>
    <col min="3" max="5" width="9.140625" style="41"/>
    <col min="6" max="6" width="10.7109375" style="41" customWidth="1"/>
    <col min="7" max="10" width="9.140625" style="41"/>
    <col min="11" max="11" width="19" style="41" bestFit="1" customWidth="1"/>
    <col min="12" max="14" width="9.140625" style="41"/>
    <col min="15" max="15" width="10.7109375" style="41" customWidth="1"/>
    <col min="16" max="19" width="9.140625" style="41"/>
    <col min="20" max="20" width="18.5703125" style="41" customWidth="1"/>
    <col min="21" max="23" width="9.140625" style="41"/>
    <col min="24" max="24" width="11.140625" style="41" customWidth="1"/>
    <col min="25" max="16384" width="9.140625" style="41"/>
  </cols>
  <sheetData>
    <row r="1" spans="1:26" ht="16.5" thickBot="1" x14ac:dyDescent="0.3">
      <c r="A1" s="197" t="s">
        <v>3</v>
      </c>
      <c r="B1" s="197"/>
      <c r="C1" s="197"/>
      <c r="D1" s="197"/>
      <c r="E1" s="197"/>
      <c r="F1" s="197"/>
      <c r="G1" s="197"/>
      <c r="H1" s="197"/>
      <c r="J1" s="197" t="s">
        <v>4</v>
      </c>
      <c r="K1" s="197"/>
      <c r="L1" s="197"/>
      <c r="M1" s="197"/>
      <c r="N1" s="197"/>
      <c r="O1" s="197"/>
      <c r="P1" s="197"/>
      <c r="Q1" s="197"/>
      <c r="S1" s="197" t="s">
        <v>5</v>
      </c>
      <c r="T1" s="197"/>
      <c r="U1" s="197"/>
      <c r="V1" s="197"/>
      <c r="W1" s="197"/>
      <c r="X1" s="197"/>
      <c r="Y1" s="197"/>
      <c r="Z1" s="197"/>
    </row>
    <row r="2" spans="1:26" ht="29.25" customHeight="1" x14ac:dyDescent="0.25">
      <c r="B2" s="22" t="s">
        <v>18</v>
      </c>
      <c r="C2" s="18">
        <v>0.05</v>
      </c>
      <c r="D2" s="198"/>
      <c r="E2" s="199"/>
      <c r="F2" s="199"/>
      <c r="G2" s="200"/>
      <c r="H2" s="201"/>
      <c r="K2" s="22" t="s">
        <v>18</v>
      </c>
      <c r="L2" s="18">
        <f>10%</f>
        <v>0.1</v>
      </c>
      <c r="M2" s="198"/>
      <c r="N2" s="199"/>
      <c r="O2" s="199"/>
      <c r="P2" s="200"/>
      <c r="Q2" s="201"/>
      <c r="T2" s="22" t="s">
        <v>18</v>
      </c>
      <c r="U2" s="18">
        <v>0.15</v>
      </c>
      <c r="V2" s="198"/>
      <c r="W2" s="199"/>
      <c r="X2" s="199"/>
      <c r="Y2" s="200"/>
      <c r="Z2" s="201"/>
    </row>
    <row r="3" spans="1:26" x14ac:dyDescent="0.25">
      <c r="B3" s="23" t="s">
        <v>13</v>
      </c>
      <c r="C3" s="14">
        <v>0.28000000000000003</v>
      </c>
      <c r="D3" s="206"/>
      <c r="E3" s="16" t="s">
        <v>19</v>
      </c>
      <c r="F3" s="14">
        <v>3.08</v>
      </c>
      <c r="G3" s="202"/>
      <c r="H3" s="203"/>
      <c r="K3" s="23" t="s">
        <v>13</v>
      </c>
      <c r="L3" s="14">
        <v>0.28000000000000003</v>
      </c>
      <c r="M3" s="206"/>
      <c r="N3" s="16" t="s">
        <v>19</v>
      </c>
      <c r="O3" s="14">
        <v>3.08</v>
      </c>
      <c r="P3" s="202"/>
      <c r="Q3" s="203"/>
      <c r="T3" s="23" t="s">
        <v>13</v>
      </c>
      <c r="U3" s="14">
        <v>0.28000000000000003</v>
      </c>
      <c r="V3" s="206"/>
      <c r="W3" s="24" t="s">
        <v>19</v>
      </c>
      <c r="X3" s="14">
        <v>3.08</v>
      </c>
      <c r="Y3" s="202"/>
      <c r="Z3" s="203"/>
    </row>
    <row r="4" spans="1:26" ht="16.5" thickBot="1" x14ac:dyDescent="0.3">
      <c r="B4" s="25" t="s">
        <v>14</v>
      </c>
      <c r="C4" s="15">
        <v>0.32</v>
      </c>
      <c r="D4" s="207"/>
      <c r="E4" s="17" t="s">
        <v>20</v>
      </c>
      <c r="F4" s="15">
        <v>2.11</v>
      </c>
      <c r="G4" s="204"/>
      <c r="H4" s="205"/>
      <c r="K4" s="25" t="s">
        <v>14</v>
      </c>
      <c r="L4" s="15">
        <v>0.36</v>
      </c>
      <c r="M4" s="207"/>
      <c r="N4" s="17" t="s">
        <v>20</v>
      </c>
      <c r="O4" s="15">
        <v>2.11</v>
      </c>
      <c r="P4" s="204"/>
      <c r="Q4" s="205"/>
      <c r="T4" s="25" t="s">
        <v>14</v>
      </c>
      <c r="U4" s="19">
        <v>0.4</v>
      </c>
      <c r="V4" s="207"/>
      <c r="W4" s="26" t="s">
        <v>20</v>
      </c>
      <c r="X4" s="15">
        <v>2.11</v>
      </c>
      <c r="Y4" s="204"/>
      <c r="Z4" s="205"/>
    </row>
    <row r="5" spans="1:26" ht="33.75" customHeight="1" thickBot="1" x14ac:dyDescent="0.3">
      <c r="B5" s="13" t="s">
        <v>7</v>
      </c>
      <c r="C5" s="37" t="s">
        <v>8</v>
      </c>
      <c r="D5" s="194"/>
      <c r="E5" s="195"/>
      <c r="F5" s="195"/>
      <c r="G5" s="194"/>
      <c r="H5" s="196"/>
      <c r="K5" s="13" t="s">
        <v>7</v>
      </c>
      <c r="L5" s="37" t="s">
        <v>8</v>
      </c>
      <c r="M5" s="194"/>
      <c r="N5" s="195"/>
      <c r="O5" s="195"/>
      <c r="P5" s="194"/>
      <c r="Q5" s="196"/>
      <c r="T5" s="13" t="s">
        <v>7</v>
      </c>
      <c r="U5" s="37" t="s">
        <v>8</v>
      </c>
      <c r="V5" s="194"/>
      <c r="W5" s="195"/>
      <c r="X5" s="195"/>
      <c r="Y5" s="194"/>
      <c r="Z5" s="196"/>
    </row>
    <row r="6" spans="1:26" ht="32.25" thickBot="1" x14ac:dyDescent="0.3">
      <c r="A6" s="4" t="s">
        <v>9</v>
      </c>
      <c r="B6" s="4" t="s">
        <v>10</v>
      </c>
      <c r="C6" s="4" t="s">
        <v>11</v>
      </c>
      <c r="D6" s="5" t="s">
        <v>15</v>
      </c>
      <c r="E6" s="5" t="s">
        <v>16</v>
      </c>
      <c r="F6" s="12" t="s">
        <v>21</v>
      </c>
      <c r="G6" s="5" t="s">
        <v>17</v>
      </c>
      <c r="H6" s="5" t="s">
        <v>12</v>
      </c>
      <c r="J6" s="4" t="s">
        <v>9</v>
      </c>
      <c r="K6" s="4" t="s">
        <v>10</v>
      </c>
      <c r="L6" s="4" t="s">
        <v>11</v>
      </c>
      <c r="M6" s="5" t="s">
        <v>15</v>
      </c>
      <c r="N6" s="5" t="s">
        <v>16</v>
      </c>
      <c r="O6" s="12" t="s">
        <v>21</v>
      </c>
      <c r="P6" s="5" t="s">
        <v>17</v>
      </c>
      <c r="Q6" s="5" t="s">
        <v>12</v>
      </c>
      <c r="S6" s="4" t="s">
        <v>9</v>
      </c>
      <c r="T6" s="4" t="s">
        <v>10</v>
      </c>
      <c r="U6" s="4" t="s">
        <v>11</v>
      </c>
      <c r="V6" s="5" t="s">
        <v>15</v>
      </c>
      <c r="W6" s="5" t="s">
        <v>16</v>
      </c>
      <c r="X6" s="12" t="s">
        <v>21</v>
      </c>
      <c r="Y6" s="5" t="s">
        <v>17</v>
      </c>
      <c r="Z6" s="5" t="s">
        <v>12</v>
      </c>
    </row>
    <row r="7" spans="1:26" ht="17.25" thickTop="1" thickBot="1" x14ac:dyDescent="0.3">
      <c r="A7" s="6">
        <v>10</v>
      </c>
      <c r="B7" s="9">
        <f t="shared" ref="B7:B15" si="0">D49</f>
        <v>0.4889</v>
      </c>
      <c r="C7" s="9">
        <f t="shared" ref="C7:C15" si="1">E49</f>
        <v>0.50440000000000007</v>
      </c>
      <c r="D7" s="11">
        <f t="shared" ref="D7:D12" si="2">B7-$C$3</f>
        <v>0.20889999999999997</v>
      </c>
      <c r="E7" s="11">
        <f t="shared" ref="E7:E12" si="3">C7-$C$4</f>
        <v>0.18440000000000006</v>
      </c>
      <c r="F7" s="28">
        <f>(100%-$C$2)+$C$2*($F$4/$F$3)</f>
        <v>0.98425324675324666</v>
      </c>
      <c r="G7" s="11">
        <f t="shared" ref="G7:G15" si="4">D7-E7*$F$7</f>
        <v>2.7403701298701233E-2</v>
      </c>
      <c r="H7" s="10">
        <f t="shared" ref="H7:H12" si="5">G7</f>
        <v>2.7403701298701233E-2</v>
      </c>
      <c r="J7" s="6">
        <v>10</v>
      </c>
      <c r="K7" s="9">
        <f t="shared" ref="K7:K15" si="6">M49</f>
        <v>0.4889</v>
      </c>
      <c r="L7" s="9">
        <f t="shared" ref="L7:L15" si="7">N49</f>
        <v>0.5161</v>
      </c>
      <c r="M7" s="11">
        <f t="shared" ref="M7:M12" si="8">K7-$L$3</f>
        <v>0.20889999999999997</v>
      </c>
      <c r="N7" s="11">
        <f t="shared" ref="N7:N12" si="9">L7-$L$4</f>
        <v>0.15610000000000002</v>
      </c>
      <c r="O7" s="28">
        <f>(100%-$L$2)+$L$2*($O$4/$O$3)</f>
        <v>0.96850649350649354</v>
      </c>
      <c r="P7" s="11">
        <f t="shared" ref="P7:P15" si="10">M7-N7*$O$7</f>
        <v>5.7716136363636317E-2</v>
      </c>
      <c r="Q7" s="10">
        <f t="shared" ref="Q7:Q12" si="11">P7</f>
        <v>5.7716136363636317E-2</v>
      </c>
      <c r="S7" s="6">
        <v>10</v>
      </c>
      <c r="T7" s="9">
        <f t="shared" ref="T7:T15" si="12">V49</f>
        <v>0.4889</v>
      </c>
      <c r="U7" s="9">
        <f t="shared" ref="U7:U15" si="13">W49</f>
        <v>0.53149999999999997</v>
      </c>
      <c r="V7" s="11">
        <f t="shared" ref="V7:V15" si="14">T7-$U$3</f>
        <v>0.20889999999999997</v>
      </c>
      <c r="W7" s="11">
        <f t="shared" ref="W7:W15" si="15">U7-$U$4</f>
        <v>0.13149999999999995</v>
      </c>
      <c r="X7" s="28">
        <f t="shared" ref="X7:X15" si="16">(100%-$U$2)+$U$2*($X$4/$X$3)</f>
        <v>0.9527597402597402</v>
      </c>
      <c r="Y7" s="11">
        <f t="shared" ref="Y7:Y15" si="17">V7-W7*$X$7</f>
        <v>8.3612094155844197E-2</v>
      </c>
      <c r="Z7" s="10">
        <f t="shared" ref="Z7:Z15" si="18">Y7</f>
        <v>8.3612094155844197E-2</v>
      </c>
    </row>
    <row r="8" spans="1:26" ht="16.5" thickBot="1" x14ac:dyDescent="0.3">
      <c r="A8" s="6">
        <f t="shared" ref="A8:A15" si="19">A7+10</f>
        <v>20</v>
      </c>
      <c r="B8" s="9">
        <f t="shared" si="0"/>
        <v>0.53390000000000004</v>
      </c>
      <c r="C8" s="9">
        <f t="shared" si="1"/>
        <v>0.5494</v>
      </c>
      <c r="D8" s="11">
        <f t="shared" si="2"/>
        <v>0.25390000000000001</v>
      </c>
      <c r="E8" s="11">
        <f t="shared" si="3"/>
        <v>0.22939999999999999</v>
      </c>
      <c r="F8" s="28">
        <f t="shared" ref="F8:F15" si="20">(100%-$C$2)+$C$2*($F$4/$F$3)</f>
        <v>0.98425324675324666</v>
      </c>
      <c r="G8" s="11">
        <f t="shared" si="4"/>
        <v>2.8112305194805232E-2</v>
      </c>
      <c r="H8" s="10">
        <f t="shared" si="5"/>
        <v>2.8112305194805232E-2</v>
      </c>
      <c r="J8" s="6">
        <f t="shared" ref="J8:J15" si="21">J7+10</f>
        <v>20</v>
      </c>
      <c r="K8" s="9">
        <f t="shared" si="6"/>
        <v>0.53390000000000004</v>
      </c>
      <c r="L8" s="9">
        <f t="shared" si="7"/>
        <v>0.56110000000000004</v>
      </c>
      <c r="M8" s="11">
        <f t="shared" si="8"/>
        <v>0.25390000000000001</v>
      </c>
      <c r="N8" s="11">
        <f t="shared" si="9"/>
        <v>0.20110000000000006</v>
      </c>
      <c r="O8" s="28">
        <f t="shared" ref="O8:O15" si="22">(100%-$L$2)+$L$2*($O$4/$O$3)</f>
        <v>0.96850649350649354</v>
      </c>
      <c r="P8" s="11">
        <f t="shared" si="10"/>
        <v>5.913334415584412E-2</v>
      </c>
      <c r="Q8" s="10">
        <f t="shared" si="11"/>
        <v>5.913334415584412E-2</v>
      </c>
      <c r="S8" s="6">
        <f t="shared" ref="S8:S15" si="23">S7+10</f>
        <v>20</v>
      </c>
      <c r="T8" s="9">
        <f t="shared" si="12"/>
        <v>0.53390000000000004</v>
      </c>
      <c r="U8" s="9">
        <f t="shared" si="13"/>
        <v>0.57650000000000001</v>
      </c>
      <c r="V8" s="11">
        <f t="shared" si="14"/>
        <v>0.25390000000000001</v>
      </c>
      <c r="W8" s="11">
        <f t="shared" si="15"/>
        <v>0.17649999999999999</v>
      </c>
      <c r="X8" s="28">
        <f t="shared" si="16"/>
        <v>0.9527597402597402</v>
      </c>
      <c r="Y8" s="11">
        <f t="shared" si="17"/>
        <v>8.5737905844155887E-2</v>
      </c>
      <c r="Z8" s="10">
        <f t="shared" si="18"/>
        <v>8.5737905844155887E-2</v>
      </c>
    </row>
    <row r="9" spans="1:26" ht="16.5" thickBot="1" x14ac:dyDescent="0.3">
      <c r="A9" s="6">
        <f t="shared" si="19"/>
        <v>30</v>
      </c>
      <c r="B9" s="9">
        <f t="shared" si="0"/>
        <v>0.57089999999999996</v>
      </c>
      <c r="C9" s="9">
        <f t="shared" si="1"/>
        <v>0.58640000000000003</v>
      </c>
      <c r="D9" s="11">
        <f t="shared" si="2"/>
        <v>0.29089999999999994</v>
      </c>
      <c r="E9" s="11">
        <f t="shared" si="3"/>
        <v>0.26640000000000003</v>
      </c>
      <c r="F9" s="28">
        <f t="shared" si="20"/>
        <v>0.98425324675324666</v>
      </c>
      <c r="G9" s="11">
        <f t="shared" si="4"/>
        <v>2.8694935064934979E-2</v>
      </c>
      <c r="H9" s="10">
        <f t="shared" si="5"/>
        <v>2.8694935064934979E-2</v>
      </c>
      <c r="J9" s="6">
        <f t="shared" si="21"/>
        <v>30</v>
      </c>
      <c r="K9" s="9">
        <f t="shared" si="6"/>
        <v>0.57089999999999996</v>
      </c>
      <c r="L9" s="9">
        <f t="shared" si="7"/>
        <v>0.59810000000000008</v>
      </c>
      <c r="M9" s="11">
        <f t="shared" si="8"/>
        <v>0.29089999999999994</v>
      </c>
      <c r="N9" s="11">
        <f t="shared" si="9"/>
        <v>0.23810000000000009</v>
      </c>
      <c r="O9" s="28">
        <f t="shared" si="22"/>
        <v>0.96850649350649354</v>
      </c>
      <c r="P9" s="11">
        <f t="shared" si="10"/>
        <v>6.0298603896103725E-2</v>
      </c>
      <c r="Q9" s="10">
        <f t="shared" si="11"/>
        <v>6.0298603896103725E-2</v>
      </c>
      <c r="S9" s="6">
        <f t="shared" si="23"/>
        <v>30</v>
      </c>
      <c r="T9" s="9">
        <f t="shared" si="12"/>
        <v>0.57089999999999996</v>
      </c>
      <c r="U9" s="9">
        <f t="shared" si="13"/>
        <v>0.61349999999999993</v>
      </c>
      <c r="V9" s="11">
        <f t="shared" si="14"/>
        <v>0.29089999999999994</v>
      </c>
      <c r="W9" s="11">
        <f t="shared" si="15"/>
        <v>0.21349999999999991</v>
      </c>
      <c r="X9" s="28">
        <f t="shared" si="16"/>
        <v>0.9527597402597402</v>
      </c>
      <c r="Y9" s="11">
        <f t="shared" si="17"/>
        <v>8.748579545454549E-2</v>
      </c>
      <c r="Z9" s="10">
        <f t="shared" si="18"/>
        <v>8.748579545454549E-2</v>
      </c>
    </row>
    <row r="10" spans="1:26" ht="16.5" thickBot="1" x14ac:dyDescent="0.3">
      <c r="A10" s="6">
        <f t="shared" si="19"/>
        <v>40</v>
      </c>
      <c r="B10" s="9">
        <f t="shared" si="0"/>
        <v>0.59989999999999999</v>
      </c>
      <c r="C10" s="9">
        <f t="shared" si="1"/>
        <v>0.61540000000000006</v>
      </c>
      <c r="D10" s="11">
        <f t="shared" si="2"/>
        <v>0.31989999999999996</v>
      </c>
      <c r="E10" s="11">
        <f t="shared" si="3"/>
        <v>0.29540000000000005</v>
      </c>
      <c r="F10" s="28">
        <f t="shared" si="20"/>
        <v>0.98425324675324666</v>
      </c>
      <c r="G10" s="11">
        <f t="shared" si="4"/>
        <v>2.9151590909090863E-2</v>
      </c>
      <c r="H10" s="10">
        <f t="shared" si="5"/>
        <v>2.9151590909090863E-2</v>
      </c>
      <c r="J10" s="6">
        <f t="shared" si="21"/>
        <v>40</v>
      </c>
      <c r="K10" s="9">
        <f t="shared" si="6"/>
        <v>0.59989999999999999</v>
      </c>
      <c r="L10" s="9">
        <f t="shared" si="7"/>
        <v>0.62709999999999999</v>
      </c>
      <c r="M10" s="11">
        <f t="shared" si="8"/>
        <v>0.31989999999999996</v>
      </c>
      <c r="N10" s="11">
        <f t="shared" si="9"/>
        <v>0.2671</v>
      </c>
      <c r="O10" s="28">
        <f t="shared" si="22"/>
        <v>0.96850649350649354</v>
      </c>
      <c r="P10" s="11">
        <f t="shared" si="10"/>
        <v>6.1211915584415522E-2</v>
      </c>
      <c r="Q10" s="10">
        <f t="shared" si="11"/>
        <v>6.1211915584415522E-2</v>
      </c>
      <c r="S10" s="6">
        <f t="shared" si="23"/>
        <v>40</v>
      </c>
      <c r="T10" s="9">
        <f t="shared" si="12"/>
        <v>0.59989999999999999</v>
      </c>
      <c r="U10" s="9">
        <f t="shared" si="13"/>
        <v>0.64249999999999996</v>
      </c>
      <c r="V10" s="11">
        <f t="shared" si="14"/>
        <v>0.31989999999999996</v>
      </c>
      <c r="W10" s="11">
        <f t="shared" si="15"/>
        <v>0.24249999999999994</v>
      </c>
      <c r="X10" s="28">
        <f t="shared" si="16"/>
        <v>0.9527597402597402</v>
      </c>
      <c r="Y10" s="11">
        <f t="shared" si="17"/>
        <v>8.8855762987013032E-2</v>
      </c>
      <c r="Z10" s="10">
        <f t="shared" si="18"/>
        <v>8.8855762987013032E-2</v>
      </c>
    </row>
    <row r="11" spans="1:26" ht="16.5" thickBot="1" x14ac:dyDescent="0.3">
      <c r="A11" s="6">
        <f t="shared" si="19"/>
        <v>50</v>
      </c>
      <c r="B11" s="9">
        <f t="shared" si="0"/>
        <v>0.62090000000000001</v>
      </c>
      <c r="C11" s="9">
        <f t="shared" si="1"/>
        <v>0.63640000000000008</v>
      </c>
      <c r="D11" s="11">
        <f t="shared" si="2"/>
        <v>0.34089999999999998</v>
      </c>
      <c r="E11" s="11">
        <f t="shared" si="3"/>
        <v>0.31640000000000007</v>
      </c>
      <c r="F11" s="28">
        <f t="shared" si="20"/>
        <v>0.98425324675324666</v>
      </c>
      <c r="G11" s="11">
        <f t="shared" si="4"/>
        <v>2.9482272727272663E-2</v>
      </c>
      <c r="H11" s="10">
        <f t="shared" si="5"/>
        <v>2.9482272727272663E-2</v>
      </c>
      <c r="J11" s="6">
        <f t="shared" si="21"/>
        <v>50</v>
      </c>
      <c r="K11" s="9">
        <f t="shared" si="6"/>
        <v>0.62090000000000001</v>
      </c>
      <c r="L11" s="9">
        <f t="shared" si="7"/>
        <v>0.64810000000000001</v>
      </c>
      <c r="M11" s="11">
        <f t="shared" si="8"/>
        <v>0.34089999999999998</v>
      </c>
      <c r="N11" s="11">
        <f t="shared" si="9"/>
        <v>0.28810000000000002</v>
      </c>
      <c r="O11" s="28">
        <f t="shared" si="22"/>
        <v>0.96850649350649354</v>
      </c>
      <c r="P11" s="11">
        <f t="shared" si="10"/>
        <v>6.1873279220779176E-2</v>
      </c>
      <c r="Q11" s="10">
        <f t="shared" si="11"/>
        <v>6.1873279220779176E-2</v>
      </c>
      <c r="S11" s="6">
        <f t="shared" si="23"/>
        <v>50</v>
      </c>
      <c r="T11" s="9">
        <f t="shared" si="12"/>
        <v>0.62090000000000001</v>
      </c>
      <c r="U11" s="9">
        <f t="shared" si="13"/>
        <v>0.66349999999999998</v>
      </c>
      <c r="V11" s="11">
        <f t="shared" si="14"/>
        <v>0.34089999999999998</v>
      </c>
      <c r="W11" s="11">
        <f t="shared" si="15"/>
        <v>0.26349999999999996</v>
      </c>
      <c r="X11" s="28">
        <f t="shared" si="16"/>
        <v>0.9527597402597402</v>
      </c>
      <c r="Y11" s="11">
        <f t="shared" si="17"/>
        <v>8.9847808441558485E-2</v>
      </c>
      <c r="Z11" s="10">
        <f t="shared" si="18"/>
        <v>8.9847808441558485E-2</v>
      </c>
    </row>
    <row r="12" spans="1:26" ht="16.5" thickBot="1" x14ac:dyDescent="0.3">
      <c r="A12" s="6">
        <f t="shared" si="19"/>
        <v>60</v>
      </c>
      <c r="B12" s="9">
        <f t="shared" si="0"/>
        <v>0.63390000000000002</v>
      </c>
      <c r="C12" s="9">
        <f t="shared" si="1"/>
        <v>0.64939999999999998</v>
      </c>
      <c r="D12" s="11">
        <f t="shared" si="2"/>
        <v>0.35389999999999999</v>
      </c>
      <c r="E12" s="11">
        <f t="shared" si="3"/>
        <v>0.32939999999999997</v>
      </c>
      <c r="F12" s="28">
        <f t="shared" si="20"/>
        <v>0.98425324675324666</v>
      </c>
      <c r="G12" s="11">
        <f t="shared" si="4"/>
        <v>2.9686980519480599E-2</v>
      </c>
      <c r="H12" s="10">
        <f t="shared" si="5"/>
        <v>2.9686980519480599E-2</v>
      </c>
      <c r="J12" s="6">
        <f t="shared" si="21"/>
        <v>60</v>
      </c>
      <c r="K12" s="9">
        <f t="shared" si="6"/>
        <v>0.63390000000000002</v>
      </c>
      <c r="L12" s="9">
        <f t="shared" si="7"/>
        <v>0.66110000000000002</v>
      </c>
      <c r="M12" s="11">
        <f t="shared" si="8"/>
        <v>0.35389999999999999</v>
      </c>
      <c r="N12" s="11">
        <f t="shared" si="9"/>
        <v>0.30110000000000003</v>
      </c>
      <c r="O12" s="28">
        <f t="shared" si="22"/>
        <v>0.96850649350649354</v>
      </c>
      <c r="P12" s="11">
        <f t="shared" si="10"/>
        <v>6.2282694805194772E-2</v>
      </c>
      <c r="Q12" s="10">
        <f t="shared" si="11"/>
        <v>6.2282694805194772E-2</v>
      </c>
      <c r="S12" s="6">
        <f t="shared" si="23"/>
        <v>60</v>
      </c>
      <c r="T12" s="9">
        <f t="shared" si="12"/>
        <v>0.63390000000000002</v>
      </c>
      <c r="U12" s="9">
        <f t="shared" si="13"/>
        <v>0.67649999999999999</v>
      </c>
      <c r="V12" s="11">
        <f t="shared" si="14"/>
        <v>0.35389999999999999</v>
      </c>
      <c r="W12" s="11">
        <f t="shared" si="15"/>
        <v>0.27649999999999997</v>
      </c>
      <c r="X12" s="28">
        <f t="shared" si="16"/>
        <v>0.9527597402597402</v>
      </c>
      <c r="Y12" s="11">
        <f t="shared" si="17"/>
        <v>9.0461931818181851E-2</v>
      </c>
      <c r="Z12" s="10">
        <f t="shared" si="18"/>
        <v>9.0461931818181851E-2</v>
      </c>
    </row>
    <row r="13" spans="1:26" ht="16.5" thickBot="1" x14ac:dyDescent="0.3">
      <c r="A13" s="6">
        <f t="shared" si="19"/>
        <v>70</v>
      </c>
      <c r="B13" s="9">
        <f t="shared" si="0"/>
        <v>0.63890000000000002</v>
      </c>
      <c r="C13" s="9">
        <f t="shared" si="1"/>
        <v>0.65439999999999998</v>
      </c>
      <c r="D13" s="11">
        <f>B13-$C$3</f>
        <v>0.3589</v>
      </c>
      <c r="E13" s="11">
        <f>C13-$C$4</f>
        <v>0.33439999999999998</v>
      </c>
      <c r="F13" s="28">
        <f t="shared" si="20"/>
        <v>0.98425324675324666</v>
      </c>
      <c r="G13" s="11">
        <f t="shared" si="4"/>
        <v>2.976571428571434E-2</v>
      </c>
      <c r="H13" s="10">
        <f>G13</f>
        <v>2.976571428571434E-2</v>
      </c>
      <c r="J13" s="6">
        <f t="shared" si="21"/>
        <v>70</v>
      </c>
      <c r="K13" s="9">
        <f t="shared" si="6"/>
        <v>0.63890000000000002</v>
      </c>
      <c r="L13" s="9">
        <f t="shared" si="7"/>
        <v>0.66610000000000003</v>
      </c>
      <c r="M13" s="11">
        <f>K13-$L$3</f>
        <v>0.3589</v>
      </c>
      <c r="N13" s="11">
        <f>L13-$L$4</f>
        <v>0.30610000000000004</v>
      </c>
      <c r="O13" s="28">
        <f t="shared" si="22"/>
        <v>0.96850649350649354</v>
      </c>
      <c r="P13" s="11">
        <f t="shared" si="10"/>
        <v>6.2440162337662308E-2</v>
      </c>
      <c r="Q13" s="10">
        <f>P13</f>
        <v>6.2440162337662308E-2</v>
      </c>
      <c r="S13" s="6">
        <f t="shared" si="23"/>
        <v>70</v>
      </c>
      <c r="T13" s="9">
        <f t="shared" si="12"/>
        <v>0.63890000000000002</v>
      </c>
      <c r="U13" s="9">
        <f t="shared" si="13"/>
        <v>0.68149999999999999</v>
      </c>
      <c r="V13" s="11">
        <f t="shared" si="14"/>
        <v>0.3589</v>
      </c>
      <c r="W13" s="11">
        <f t="shared" si="15"/>
        <v>0.28149999999999997</v>
      </c>
      <c r="X13" s="28">
        <f t="shared" si="16"/>
        <v>0.9527597402597402</v>
      </c>
      <c r="Y13" s="11">
        <f t="shared" si="17"/>
        <v>9.0698133116883184E-2</v>
      </c>
      <c r="Z13" s="10">
        <f t="shared" si="18"/>
        <v>9.0698133116883184E-2</v>
      </c>
    </row>
    <row r="14" spans="1:26" ht="16.5" thickBot="1" x14ac:dyDescent="0.3">
      <c r="A14" s="6">
        <f t="shared" si="19"/>
        <v>80</v>
      </c>
      <c r="B14" s="9">
        <f t="shared" si="0"/>
        <v>0.63590000000000002</v>
      </c>
      <c r="C14" s="9">
        <f t="shared" si="1"/>
        <v>0.65139999999999998</v>
      </c>
      <c r="D14" s="11">
        <f>B14-$C$3</f>
        <v>0.35589999999999999</v>
      </c>
      <c r="E14" s="11">
        <f>C14-$C$4</f>
        <v>0.33139999999999997</v>
      </c>
      <c r="F14" s="28">
        <f t="shared" si="20"/>
        <v>0.98425324675324666</v>
      </c>
      <c r="G14" s="11">
        <f t="shared" si="4"/>
        <v>2.9718474025974106E-2</v>
      </c>
      <c r="H14" s="10">
        <f>G14</f>
        <v>2.9718474025974106E-2</v>
      </c>
      <c r="J14" s="6">
        <f t="shared" si="21"/>
        <v>80</v>
      </c>
      <c r="K14" s="9">
        <f t="shared" si="6"/>
        <v>0.63590000000000002</v>
      </c>
      <c r="L14" s="9">
        <f t="shared" si="7"/>
        <v>0.66310000000000002</v>
      </c>
      <c r="M14" s="11">
        <f>K14-$L$3</f>
        <v>0.35589999999999999</v>
      </c>
      <c r="N14" s="11">
        <f>L14-$L$4</f>
        <v>0.30310000000000004</v>
      </c>
      <c r="O14" s="28">
        <f t="shared" si="22"/>
        <v>0.96850649350649354</v>
      </c>
      <c r="P14" s="11">
        <f t="shared" si="10"/>
        <v>6.2345681818181786E-2</v>
      </c>
      <c r="Q14" s="10">
        <f>P14</f>
        <v>6.2345681818181786E-2</v>
      </c>
      <c r="S14" s="6">
        <f t="shared" si="23"/>
        <v>80</v>
      </c>
      <c r="T14" s="9">
        <f t="shared" si="12"/>
        <v>0.63590000000000002</v>
      </c>
      <c r="U14" s="9">
        <f t="shared" si="13"/>
        <v>0.67849999999999999</v>
      </c>
      <c r="V14" s="11">
        <f t="shared" si="14"/>
        <v>0.35589999999999999</v>
      </c>
      <c r="W14" s="11">
        <f t="shared" si="15"/>
        <v>0.27849999999999997</v>
      </c>
      <c r="X14" s="28">
        <f t="shared" si="16"/>
        <v>0.9527597402597402</v>
      </c>
      <c r="Y14" s="11">
        <f t="shared" si="17"/>
        <v>9.0556412337662373E-2</v>
      </c>
      <c r="Z14" s="10">
        <f t="shared" si="18"/>
        <v>9.0556412337662373E-2</v>
      </c>
    </row>
    <row r="15" spans="1:26" ht="16.5" thickBot="1" x14ac:dyDescent="0.3">
      <c r="A15" s="6">
        <f t="shared" si="19"/>
        <v>90</v>
      </c>
      <c r="B15" s="9">
        <f t="shared" si="0"/>
        <v>0.62490000000000001</v>
      </c>
      <c r="C15" s="9">
        <f t="shared" si="1"/>
        <v>0.64040000000000008</v>
      </c>
      <c r="D15" s="11">
        <f>B15-$C$3</f>
        <v>0.34489999999999998</v>
      </c>
      <c r="E15" s="11">
        <f>C15-$C$4</f>
        <v>0.32040000000000007</v>
      </c>
      <c r="F15" s="28">
        <f t="shared" si="20"/>
        <v>0.98425324675324666</v>
      </c>
      <c r="G15" s="11">
        <f t="shared" si="4"/>
        <v>2.9545259740259677E-2</v>
      </c>
      <c r="H15" s="10">
        <f>G15</f>
        <v>2.9545259740259677E-2</v>
      </c>
      <c r="J15" s="6">
        <f t="shared" si="21"/>
        <v>90</v>
      </c>
      <c r="K15" s="9">
        <f t="shared" si="6"/>
        <v>0.62490000000000001</v>
      </c>
      <c r="L15" s="9">
        <f t="shared" si="7"/>
        <v>0.65210000000000001</v>
      </c>
      <c r="M15" s="11">
        <f>K15-$L$3</f>
        <v>0.34489999999999998</v>
      </c>
      <c r="N15" s="11">
        <f>L15-$L$4</f>
        <v>0.29210000000000003</v>
      </c>
      <c r="O15" s="28">
        <f t="shared" si="22"/>
        <v>0.96850649350649354</v>
      </c>
      <c r="P15" s="11">
        <f t="shared" si="10"/>
        <v>6.1999253246753205E-2</v>
      </c>
      <c r="Q15" s="10">
        <f>P15</f>
        <v>6.1999253246753205E-2</v>
      </c>
      <c r="S15" s="6">
        <f t="shared" si="23"/>
        <v>90</v>
      </c>
      <c r="T15" s="9">
        <f t="shared" si="12"/>
        <v>0.62490000000000001</v>
      </c>
      <c r="U15" s="9">
        <f t="shared" si="13"/>
        <v>0.66749999999999998</v>
      </c>
      <c r="V15" s="11">
        <f t="shared" si="14"/>
        <v>0.34489999999999998</v>
      </c>
      <c r="W15" s="11">
        <f t="shared" si="15"/>
        <v>0.26749999999999996</v>
      </c>
      <c r="X15" s="28">
        <f t="shared" si="16"/>
        <v>0.9527597402597402</v>
      </c>
      <c r="Y15" s="11">
        <f t="shared" si="17"/>
        <v>9.003676948051953E-2</v>
      </c>
      <c r="Z15" s="10">
        <f t="shared" si="18"/>
        <v>9.003676948051953E-2</v>
      </c>
    </row>
    <row r="16" spans="1:26" ht="16.5" thickBot="1" x14ac:dyDescent="0.3">
      <c r="A16" s="7"/>
      <c r="B16" s="7"/>
      <c r="C16" s="7"/>
      <c r="D16" s="208" t="s">
        <v>30</v>
      </c>
      <c r="E16" s="209"/>
      <c r="F16" s="209"/>
      <c r="G16" s="209"/>
      <c r="H16" s="40">
        <f>AVERAGE(H7:H15)</f>
        <v>2.9062359307359301E-2</v>
      </c>
      <c r="J16" s="7"/>
      <c r="K16" s="7"/>
      <c r="L16" s="7"/>
      <c r="M16" s="208" t="s">
        <v>30</v>
      </c>
      <c r="N16" s="209"/>
      <c r="O16" s="209"/>
      <c r="P16" s="209"/>
      <c r="Q16" s="40">
        <f>AVERAGE(Q7:Q15)</f>
        <v>6.103345238095232E-2</v>
      </c>
      <c r="S16" s="7"/>
      <c r="T16" s="7"/>
      <c r="U16" s="7"/>
      <c r="V16" s="208" t="s">
        <v>30</v>
      </c>
      <c r="W16" s="209"/>
      <c r="X16" s="209"/>
      <c r="Y16" s="209"/>
      <c r="Z16" s="40">
        <f>AVERAGE(Z7:Z15)</f>
        <v>8.8588068181818233E-2</v>
      </c>
    </row>
    <row r="17" spans="3:7" ht="17.25" thickTop="1" thickBot="1" x14ac:dyDescent="0.3"/>
    <row r="18" spans="3:7" ht="16.5" thickTop="1" x14ac:dyDescent="0.25">
      <c r="C18" s="210" t="s">
        <v>11</v>
      </c>
      <c r="D18" s="212" t="s">
        <v>29</v>
      </c>
      <c r="E18" s="212"/>
      <c r="F18" s="212"/>
      <c r="G18" s="212"/>
    </row>
    <row r="19" spans="3:7" ht="16.5" thickBot="1" x14ac:dyDescent="0.3">
      <c r="C19" s="211"/>
      <c r="D19" s="30">
        <v>0</v>
      </c>
      <c r="E19" s="30">
        <v>0.05</v>
      </c>
      <c r="F19" s="30">
        <v>0.1</v>
      </c>
      <c r="G19" s="30">
        <v>0.15</v>
      </c>
    </row>
    <row r="20" spans="3:7" ht="16.5" thickTop="1" x14ac:dyDescent="0.25">
      <c r="C20" s="29">
        <v>0.45</v>
      </c>
      <c r="D20" s="38">
        <v>2</v>
      </c>
      <c r="E20" s="38">
        <v>0</v>
      </c>
      <c r="F20" s="38">
        <v>0</v>
      </c>
      <c r="G20" s="38">
        <v>0</v>
      </c>
    </row>
    <row r="21" spans="3:7" x14ac:dyDescent="0.25">
      <c r="C21" s="29">
        <v>0.5</v>
      </c>
      <c r="D21" s="38">
        <v>14</v>
      </c>
      <c r="E21" s="38">
        <v>6</v>
      </c>
      <c r="F21" s="38">
        <v>7</v>
      </c>
      <c r="G21" s="38">
        <v>0</v>
      </c>
    </row>
    <row r="22" spans="3:7" x14ac:dyDescent="0.25">
      <c r="C22" s="29">
        <v>0.55000000000000004</v>
      </c>
      <c r="D22" s="38">
        <v>23</v>
      </c>
      <c r="E22" s="38">
        <v>16</v>
      </c>
      <c r="F22" s="38">
        <v>7</v>
      </c>
      <c r="G22" s="38">
        <v>6</v>
      </c>
    </row>
    <row r="23" spans="3:7" x14ac:dyDescent="0.25">
      <c r="C23" s="29">
        <v>0.6</v>
      </c>
      <c r="D23" s="38">
        <v>96</v>
      </c>
      <c r="E23" s="38">
        <v>24</v>
      </c>
      <c r="F23" s="38">
        <v>25</v>
      </c>
      <c r="G23" s="38">
        <v>16</v>
      </c>
    </row>
    <row r="24" spans="3:7" ht="16.5" thickBot="1" x14ac:dyDescent="0.3">
      <c r="C24" s="36">
        <v>0.65</v>
      </c>
      <c r="D24" s="39">
        <v>159</v>
      </c>
      <c r="E24" s="39">
        <v>67</v>
      </c>
      <c r="F24" s="39">
        <v>54</v>
      </c>
      <c r="G24" s="39">
        <v>37</v>
      </c>
    </row>
    <row r="25" spans="3:7" ht="16.5" thickTop="1" x14ac:dyDescent="0.25"/>
    <row r="45" spans="3:23" ht="16.5" thickBot="1" x14ac:dyDescent="0.3"/>
    <row r="46" spans="3:23" ht="16.5" thickBot="1" x14ac:dyDescent="0.3">
      <c r="C46" s="184" t="s">
        <v>27</v>
      </c>
      <c r="D46" s="185"/>
      <c r="E46" s="186"/>
      <c r="L46" s="184" t="s">
        <v>27</v>
      </c>
      <c r="M46" s="185"/>
      <c r="N46" s="186"/>
      <c r="U46" s="184" t="s">
        <v>27</v>
      </c>
      <c r="V46" s="185"/>
      <c r="W46" s="186"/>
    </row>
    <row r="47" spans="3:23" ht="16.5" thickBot="1" x14ac:dyDescent="0.3">
      <c r="C47" s="42" t="s">
        <v>26</v>
      </c>
      <c r="D47" s="43" t="s">
        <v>25</v>
      </c>
      <c r="E47" s="44" t="s">
        <v>28</v>
      </c>
      <c r="L47" s="42" t="s">
        <v>26</v>
      </c>
      <c r="M47" s="43" t="s">
        <v>25</v>
      </c>
      <c r="N47" s="44" t="s">
        <v>28</v>
      </c>
      <c r="U47" s="42" t="s">
        <v>26</v>
      </c>
      <c r="V47" s="43" t="s">
        <v>25</v>
      </c>
      <c r="W47" s="44" t="s">
        <v>28</v>
      </c>
    </row>
    <row r="48" spans="3:23" ht="16.5" thickBot="1" x14ac:dyDescent="0.3">
      <c r="C48" s="45">
        <v>0</v>
      </c>
      <c r="D48" s="46">
        <f xml:space="preserve"> -0.00004*C48*C48 + 0.0057*C48 + 0.4359</f>
        <v>0.43590000000000001</v>
      </c>
      <c r="E48" s="46">
        <f xml:space="preserve"> -0.00004*C48*C48 + 0.0077*C48 + 0.4514</f>
        <v>0.45140000000000002</v>
      </c>
      <c r="L48" s="48">
        <v>0</v>
      </c>
      <c r="M48" s="49">
        <f>-4*10^(-5)*(L48)*(L48)+0.0057*(L48)+0.4359</f>
        <v>0.43590000000000001</v>
      </c>
      <c r="N48" s="49">
        <f>-4*10^(-5)*(L48)*(L48)+0.0057*(L48)+0.4631</f>
        <v>0.46310000000000001</v>
      </c>
      <c r="U48" s="45">
        <v>0</v>
      </c>
      <c r="V48" s="46">
        <f>-4*10^(-5)*(U48)*(U48)+0.0057*(U48)+0.4359</f>
        <v>0.43590000000000001</v>
      </c>
      <c r="W48" s="47">
        <f>-4*10^(-5)*(U48)*(U48)+0.0057*(U48)+0.4785</f>
        <v>0.47849999999999998</v>
      </c>
    </row>
    <row r="49" spans="3:23" ht="16.5" thickBot="1" x14ac:dyDescent="0.3">
      <c r="C49" s="51">
        <v>10</v>
      </c>
      <c r="D49" s="46">
        <f t="shared" ref="D49:D60" si="24" xml:space="preserve"> -0.00004*C49*C49 + 0.0057*C49 + 0.4359</f>
        <v>0.4889</v>
      </c>
      <c r="E49" s="46">
        <f t="shared" ref="E49:E60" si="25" xml:space="preserve"> -0.00004*C49*C49 + 0.0057*C49 + 0.4514</f>
        <v>0.50440000000000007</v>
      </c>
      <c r="L49" s="51">
        <v>10</v>
      </c>
      <c r="M49" s="49">
        <f t="shared" ref="M49:M59" si="26">-4*10^(-5)*(L49)*(L49)+0.0057*(L49)+0.4359</f>
        <v>0.4889</v>
      </c>
      <c r="N49" s="49">
        <f t="shared" ref="N49:N60" si="27">-4*10^(-5)*(L49)*(L49)+0.0057*(L49)+0.4631</f>
        <v>0.5161</v>
      </c>
      <c r="U49" s="51">
        <v>10</v>
      </c>
      <c r="V49" s="49">
        <f t="shared" ref="V49:V59" si="28">-4*10^(-5)*(U49)*(U49)+0.0057*(U49)+0.4359</f>
        <v>0.4889</v>
      </c>
      <c r="W49" s="50">
        <f t="shared" ref="W49:W60" si="29">-4*10^(-5)*(U49)*(U49)+0.0057*(U49)+0.4785</f>
        <v>0.53149999999999997</v>
      </c>
    </row>
    <row r="50" spans="3:23" ht="16.5" thickBot="1" x14ac:dyDescent="0.3">
      <c r="C50" s="51">
        <f>10+C49</f>
        <v>20</v>
      </c>
      <c r="D50" s="46">
        <f t="shared" si="24"/>
        <v>0.53390000000000004</v>
      </c>
      <c r="E50" s="46">
        <f t="shared" si="25"/>
        <v>0.5494</v>
      </c>
      <c r="L50" s="51">
        <f>10+L49</f>
        <v>20</v>
      </c>
      <c r="M50" s="49">
        <f t="shared" si="26"/>
        <v>0.53390000000000004</v>
      </c>
      <c r="N50" s="49">
        <f t="shared" si="27"/>
        <v>0.56110000000000004</v>
      </c>
      <c r="U50" s="51">
        <f>10+U49</f>
        <v>20</v>
      </c>
      <c r="V50" s="49">
        <f t="shared" si="28"/>
        <v>0.53390000000000004</v>
      </c>
      <c r="W50" s="50">
        <f t="shared" si="29"/>
        <v>0.57650000000000001</v>
      </c>
    </row>
    <row r="51" spans="3:23" ht="16.5" thickBot="1" x14ac:dyDescent="0.3">
      <c r="C51" s="51">
        <f t="shared" ref="C51:C59" si="30">10+C50</f>
        <v>30</v>
      </c>
      <c r="D51" s="46">
        <f t="shared" si="24"/>
        <v>0.57089999999999996</v>
      </c>
      <c r="E51" s="46">
        <f t="shared" si="25"/>
        <v>0.58640000000000003</v>
      </c>
      <c r="L51" s="51">
        <f t="shared" ref="L51:L59" si="31">10+L50</f>
        <v>30</v>
      </c>
      <c r="M51" s="49">
        <f t="shared" si="26"/>
        <v>0.57089999999999996</v>
      </c>
      <c r="N51" s="49">
        <f t="shared" si="27"/>
        <v>0.59810000000000008</v>
      </c>
      <c r="U51" s="51">
        <f t="shared" ref="U51:U59" si="32">10+U50</f>
        <v>30</v>
      </c>
      <c r="V51" s="49">
        <f t="shared" si="28"/>
        <v>0.57089999999999996</v>
      </c>
      <c r="W51" s="50">
        <f t="shared" si="29"/>
        <v>0.61349999999999993</v>
      </c>
    </row>
    <row r="52" spans="3:23" ht="16.5" thickBot="1" x14ac:dyDescent="0.3">
      <c r="C52" s="51">
        <f t="shared" si="30"/>
        <v>40</v>
      </c>
      <c r="D52" s="46">
        <f t="shared" si="24"/>
        <v>0.59989999999999999</v>
      </c>
      <c r="E52" s="46">
        <f t="shared" si="25"/>
        <v>0.61540000000000006</v>
      </c>
      <c r="L52" s="51">
        <f t="shared" si="31"/>
        <v>40</v>
      </c>
      <c r="M52" s="49">
        <f t="shared" si="26"/>
        <v>0.59989999999999999</v>
      </c>
      <c r="N52" s="49">
        <f t="shared" si="27"/>
        <v>0.62709999999999999</v>
      </c>
      <c r="U52" s="51">
        <f t="shared" si="32"/>
        <v>40</v>
      </c>
      <c r="V52" s="49">
        <f t="shared" si="28"/>
        <v>0.59989999999999999</v>
      </c>
      <c r="W52" s="50">
        <f t="shared" si="29"/>
        <v>0.64249999999999996</v>
      </c>
    </row>
    <row r="53" spans="3:23" ht="16.5" thickBot="1" x14ac:dyDescent="0.3">
      <c r="C53" s="51">
        <f t="shared" si="30"/>
        <v>50</v>
      </c>
      <c r="D53" s="46">
        <f t="shared" si="24"/>
        <v>0.62090000000000001</v>
      </c>
      <c r="E53" s="46">
        <f t="shared" si="25"/>
        <v>0.63640000000000008</v>
      </c>
      <c r="L53" s="51">
        <f t="shared" si="31"/>
        <v>50</v>
      </c>
      <c r="M53" s="49">
        <f t="shared" si="26"/>
        <v>0.62090000000000001</v>
      </c>
      <c r="N53" s="49">
        <f t="shared" si="27"/>
        <v>0.64810000000000001</v>
      </c>
      <c r="U53" s="51">
        <f t="shared" si="32"/>
        <v>50</v>
      </c>
      <c r="V53" s="49">
        <f t="shared" si="28"/>
        <v>0.62090000000000001</v>
      </c>
      <c r="W53" s="50">
        <f t="shared" si="29"/>
        <v>0.66349999999999998</v>
      </c>
    </row>
    <row r="54" spans="3:23" ht="16.5" thickBot="1" x14ac:dyDescent="0.3">
      <c r="C54" s="51">
        <f t="shared" si="30"/>
        <v>60</v>
      </c>
      <c r="D54" s="46">
        <f t="shared" si="24"/>
        <v>0.63390000000000002</v>
      </c>
      <c r="E54" s="46">
        <f t="shared" si="25"/>
        <v>0.64939999999999998</v>
      </c>
      <c r="L54" s="51">
        <f t="shared" si="31"/>
        <v>60</v>
      </c>
      <c r="M54" s="49">
        <f t="shared" si="26"/>
        <v>0.63390000000000002</v>
      </c>
      <c r="N54" s="49">
        <f t="shared" si="27"/>
        <v>0.66110000000000002</v>
      </c>
      <c r="U54" s="51">
        <f t="shared" si="32"/>
        <v>60</v>
      </c>
      <c r="V54" s="49">
        <f t="shared" si="28"/>
        <v>0.63390000000000002</v>
      </c>
      <c r="W54" s="50">
        <f t="shared" si="29"/>
        <v>0.67649999999999999</v>
      </c>
    </row>
    <row r="55" spans="3:23" ht="16.5" thickBot="1" x14ac:dyDescent="0.3">
      <c r="C55" s="51">
        <f t="shared" si="30"/>
        <v>70</v>
      </c>
      <c r="D55" s="46">
        <f t="shared" si="24"/>
        <v>0.63890000000000002</v>
      </c>
      <c r="E55" s="46">
        <f t="shared" si="25"/>
        <v>0.65439999999999998</v>
      </c>
      <c r="L55" s="51">
        <f t="shared" si="31"/>
        <v>70</v>
      </c>
      <c r="M55" s="49">
        <f t="shared" si="26"/>
        <v>0.63890000000000002</v>
      </c>
      <c r="N55" s="49">
        <f t="shared" si="27"/>
        <v>0.66610000000000003</v>
      </c>
      <c r="U55" s="51">
        <f t="shared" si="32"/>
        <v>70</v>
      </c>
      <c r="V55" s="49">
        <f t="shared" si="28"/>
        <v>0.63890000000000002</v>
      </c>
      <c r="W55" s="50">
        <f t="shared" si="29"/>
        <v>0.68149999999999999</v>
      </c>
    </row>
    <row r="56" spans="3:23" ht="16.5" thickBot="1" x14ac:dyDescent="0.3">
      <c r="C56" s="51">
        <f t="shared" si="30"/>
        <v>80</v>
      </c>
      <c r="D56" s="46">
        <f t="shared" si="24"/>
        <v>0.63590000000000002</v>
      </c>
      <c r="E56" s="46">
        <f t="shared" si="25"/>
        <v>0.65139999999999998</v>
      </c>
      <c r="L56" s="51">
        <f t="shared" si="31"/>
        <v>80</v>
      </c>
      <c r="M56" s="49">
        <f t="shared" si="26"/>
        <v>0.63590000000000002</v>
      </c>
      <c r="N56" s="49">
        <f t="shared" si="27"/>
        <v>0.66310000000000002</v>
      </c>
      <c r="U56" s="51">
        <f t="shared" si="32"/>
        <v>80</v>
      </c>
      <c r="V56" s="49">
        <f t="shared" si="28"/>
        <v>0.63590000000000002</v>
      </c>
      <c r="W56" s="50">
        <f t="shared" si="29"/>
        <v>0.67849999999999999</v>
      </c>
    </row>
    <row r="57" spans="3:23" ht="16.5" thickBot="1" x14ac:dyDescent="0.3">
      <c r="C57" s="51">
        <f t="shared" si="30"/>
        <v>90</v>
      </c>
      <c r="D57" s="46">
        <f t="shared" si="24"/>
        <v>0.62490000000000001</v>
      </c>
      <c r="E57" s="46">
        <f t="shared" si="25"/>
        <v>0.64040000000000008</v>
      </c>
      <c r="L57" s="51">
        <f t="shared" si="31"/>
        <v>90</v>
      </c>
      <c r="M57" s="49">
        <f t="shared" si="26"/>
        <v>0.62490000000000001</v>
      </c>
      <c r="N57" s="49">
        <f t="shared" si="27"/>
        <v>0.65210000000000001</v>
      </c>
      <c r="U57" s="51">
        <f t="shared" si="32"/>
        <v>90</v>
      </c>
      <c r="V57" s="49">
        <f t="shared" si="28"/>
        <v>0.62490000000000001</v>
      </c>
      <c r="W57" s="50">
        <f t="shared" si="29"/>
        <v>0.66749999999999998</v>
      </c>
    </row>
    <row r="58" spans="3:23" ht="16.5" thickBot="1" x14ac:dyDescent="0.3">
      <c r="C58" s="51">
        <f t="shared" si="30"/>
        <v>100</v>
      </c>
      <c r="D58" s="46">
        <f t="shared" si="24"/>
        <v>0.60590000000000011</v>
      </c>
      <c r="E58" s="46">
        <f t="shared" si="25"/>
        <v>0.62140000000000006</v>
      </c>
      <c r="L58" s="51">
        <f t="shared" si="31"/>
        <v>100</v>
      </c>
      <c r="M58" s="49">
        <f t="shared" si="26"/>
        <v>0.60590000000000011</v>
      </c>
      <c r="N58" s="49">
        <f t="shared" si="27"/>
        <v>0.6331</v>
      </c>
      <c r="U58" s="51">
        <f t="shared" si="32"/>
        <v>100</v>
      </c>
      <c r="V58" s="49">
        <f t="shared" si="28"/>
        <v>0.60590000000000011</v>
      </c>
      <c r="W58" s="50">
        <f t="shared" si="29"/>
        <v>0.64850000000000008</v>
      </c>
    </row>
    <row r="59" spans="3:23" ht="16.5" thickBot="1" x14ac:dyDescent="0.3">
      <c r="C59" s="51">
        <f t="shared" si="30"/>
        <v>110</v>
      </c>
      <c r="D59" s="46">
        <f t="shared" si="24"/>
        <v>0.57889999999999997</v>
      </c>
      <c r="E59" s="46">
        <f t="shared" si="25"/>
        <v>0.59440000000000004</v>
      </c>
      <c r="L59" s="51">
        <f t="shared" si="31"/>
        <v>110</v>
      </c>
      <c r="M59" s="49">
        <f t="shared" si="26"/>
        <v>0.57889999999999997</v>
      </c>
      <c r="N59" s="49">
        <f t="shared" si="27"/>
        <v>0.60609999999999997</v>
      </c>
      <c r="U59" s="51">
        <f t="shared" si="32"/>
        <v>110</v>
      </c>
      <c r="V59" s="49">
        <f t="shared" si="28"/>
        <v>0.57889999999999997</v>
      </c>
      <c r="W59" s="50">
        <f t="shared" si="29"/>
        <v>0.62149999999999994</v>
      </c>
    </row>
    <row r="60" spans="3:23" ht="16.5" thickBot="1" x14ac:dyDescent="0.3">
      <c r="C60" s="54">
        <f>10+C59</f>
        <v>120</v>
      </c>
      <c r="D60" s="46">
        <f t="shared" si="24"/>
        <v>0.54390000000000005</v>
      </c>
      <c r="E60" s="46">
        <f t="shared" si="25"/>
        <v>0.55940000000000001</v>
      </c>
      <c r="L60" s="54">
        <f>10+L59</f>
        <v>120</v>
      </c>
      <c r="M60" s="49">
        <f>-4*10^(-5)*(L60)*(L60)+0.0057*(L60)+0.4359</f>
        <v>0.54390000000000005</v>
      </c>
      <c r="N60" s="49">
        <f t="shared" si="27"/>
        <v>0.57109999999999994</v>
      </c>
      <c r="U60" s="54">
        <f>10+U59</f>
        <v>120</v>
      </c>
      <c r="V60" s="73">
        <f>-4*10^(-5)*(U60)*(U60)+0.0057*(U60)+0.4359</f>
        <v>0.54390000000000005</v>
      </c>
      <c r="W60" s="74">
        <f t="shared" si="29"/>
        <v>0.58650000000000002</v>
      </c>
    </row>
  </sheetData>
  <mergeCells count="23">
    <mergeCell ref="D16:G16"/>
    <mergeCell ref="M16:P16"/>
    <mergeCell ref="U46:W46"/>
    <mergeCell ref="C18:C19"/>
    <mergeCell ref="D18:G18"/>
    <mergeCell ref="L46:N46"/>
    <mergeCell ref="C46:E46"/>
    <mergeCell ref="V16:Y16"/>
    <mergeCell ref="V2:Z2"/>
    <mergeCell ref="V3:V4"/>
    <mergeCell ref="Y3:Z4"/>
    <mergeCell ref="V5:Z5"/>
    <mergeCell ref="S1:Z1"/>
    <mergeCell ref="D5:H5"/>
    <mergeCell ref="M5:Q5"/>
    <mergeCell ref="A1:H1"/>
    <mergeCell ref="D2:H2"/>
    <mergeCell ref="G3:H4"/>
    <mergeCell ref="D3:D4"/>
    <mergeCell ref="J1:Q1"/>
    <mergeCell ref="M2:Q2"/>
    <mergeCell ref="M3:M4"/>
    <mergeCell ref="P3:Q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B61"/>
  <sheetViews>
    <sheetView workbookViewId="0">
      <selection activeCell="I4" sqref="I4"/>
    </sheetView>
  </sheetViews>
  <sheetFormatPr defaultRowHeight="15.75" x14ac:dyDescent="0.25"/>
  <cols>
    <col min="1" max="1" width="9.140625" style="41"/>
    <col min="2" max="2" width="19" style="41" bestFit="1" customWidth="1"/>
    <col min="3" max="5" width="9.140625" style="41"/>
    <col min="6" max="6" width="10.7109375" style="41" customWidth="1"/>
    <col min="7" max="11" width="9.140625" style="41"/>
    <col min="12" max="12" width="19" style="41" bestFit="1" customWidth="1"/>
    <col min="13" max="14" width="9.140625" style="41"/>
    <col min="15" max="15" width="8.42578125" style="41" bestFit="1" customWidth="1"/>
    <col min="16" max="16" width="10.7109375" style="41" customWidth="1"/>
    <col min="17" max="21" width="9.140625" style="41"/>
    <col min="22" max="22" width="19" style="41" bestFit="1" customWidth="1"/>
    <col min="23" max="25" width="9.140625" style="41"/>
    <col min="26" max="26" width="10.7109375" style="41" customWidth="1"/>
    <col min="27" max="16384" width="9.140625" style="41"/>
  </cols>
  <sheetData>
    <row r="1" spans="1:28" ht="18" customHeight="1" thickBot="1" x14ac:dyDescent="0.3">
      <c r="A1" s="213" t="s">
        <v>3</v>
      </c>
      <c r="B1" s="213"/>
      <c r="C1" s="213"/>
      <c r="D1" s="213"/>
      <c r="E1" s="213"/>
      <c r="F1" s="213"/>
      <c r="G1" s="213"/>
      <c r="H1" s="213"/>
      <c r="I1" s="57"/>
      <c r="K1" s="213" t="s">
        <v>4</v>
      </c>
      <c r="L1" s="213"/>
      <c r="M1" s="213"/>
      <c r="N1" s="213"/>
      <c r="O1" s="213"/>
      <c r="P1" s="213"/>
      <c r="Q1" s="213"/>
      <c r="R1" s="213"/>
      <c r="S1" s="57"/>
      <c r="U1" s="213" t="s">
        <v>5</v>
      </c>
      <c r="V1" s="213"/>
      <c r="W1" s="213"/>
      <c r="X1" s="213"/>
      <c r="Y1" s="213"/>
      <c r="Z1" s="213"/>
      <c r="AA1" s="213"/>
      <c r="AB1" s="213"/>
    </row>
    <row r="2" spans="1:28" ht="9.75" customHeight="1" x14ac:dyDescent="0.25">
      <c r="A2" s="58"/>
      <c r="B2" s="22" t="s">
        <v>18</v>
      </c>
      <c r="C2" s="18">
        <v>0.05</v>
      </c>
      <c r="D2" s="214"/>
      <c r="E2" s="215"/>
      <c r="F2" s="215"/>
      <c r="G2" s="216"/>
      <c r="H2" s="217"/>
      <c r="I2" s="33"/>
      <c r="K2" s="58"/>
      <c r="L2" s="22" t="s">
        <v>18</v>
      </c>
      <c r="M2" s="18">
        <f>10%</f>
        <v>0.1</v>
      </c>
      <c r="N2" s="214"/>
      <c r="O2" s="215"/>
      <c r="P2" s="215"/>
      <c r="Q2" s="216"/>
      <c r="R2" s="217"/>
      <c r="S2" s="33"/>
      <c r="V2" s="22" t="s">
        <v>18</v>
      </c>
      <c r="W2" s="18">
        <v>0.15</v>
      </c>
      <c r="X2" s="198"/>
      <c r="Y2" s="199"/>
      <c r="Z2" s="199"/>
      <c r="AA2" s="200"/>
      <c r="AB2" s="201"/>
    </row>
    <row r="3" spans="1:28" hidden="1" x14ac:dyDescent="0.25">
      <c r="A3" s="58"/>
      <c r="B3" s="23" t="s">
        <v>13</v>
      </c>
      <c r="C3" s="20">
        <v>0.28000000000000003</v>
      </c>
      <c r="D3" s="218"/>
      <c r="E3" s="24" t="s">
        <v>19</v>
      </c>
      <c r="F3" s="14">
        <v>3.08</v>
      </c>
      <c r="G3" s="220"/>
      <c r="H3" s="221"/>
      <c r="I3" s="33"/>
      <c r="K3" s="58"/>
      <c r="L3" s="23" t="s">
        <v>13</v>
      </c>
      <c r="M3" s="20">
        <v>0.28000000000000003</v>
      </c>
      <c r="N3" s="218"/>
      <c r="O3" s="24" t="s">
        <v>19</v>
      </c>
      <c r="P3" s="14">
        <v>3.08</v>
      </c>
      <c r="Q3" s="220"/>
      <c r="R3" s="221"/>
      <c r="S3" s="33"/>
      <c r="V3" s="23" t="s">
        <v>13</v>
      </c>
      <c r="W3" s="20">
        <v>0.28000000000000003</v>
      </c>
      <c r="X3" s="206"/>
      <c r="Y3" s="24" t="s">
        <v>19</v>
      </c>
      <c r="Z3" s="14">
        <v>3.08</v>
      </c>
      <c r="AA3" s="202"/>
      <c r="AB3" s="203"/>
    </row>
    <row r="4" spans="1:28" ht="16.5" thickBot="1" x14ac:dyDescent="0.3">
      <c r="A4" s="58"/>
      <c r="B4" s="25" t="s">
        <v>14</v>
      </c>
      <c r="C4" s="21">
        <v>0.32</v>
      </c>
      <c r="D4" s="219"/>
      <c r="E4" s="26" t="s">
        <v>20</v>
      </c>
      <c r="F4" s="15">
        <v>2.11</v>
      </c>
      <c r="G4" s="222"/>
      <c r="H4" s="223"/>
      <c r="I4" s="33"/>
      <c r="K4" s="58"/>
      <c r="L4" s="25" t="s">
        <v>14</v>
      </c>
      <c r="M4" s="21">
        <v>0.36</v>
      </c>
      <c r="N4" s="219"/>
      <c r="O4" s="26" t="s">
        <v>20</v>
      </c>
      <c r="P4" s="15">
        <v>2.11</v>
      </c>
      <c r="Q4" s="222"/>
      <c r="R4" s="223"/>
      <c r="S4" s="33"/>
      <c r="V4" s="25" t="s">
        <v>14</v>
      </c>
      <c r="W4" s="20">
        <v>0.4</v>
      </c>
      <c r="X4" s="207"/>
      <c r="Y4" s="26" t="s">
        <v>20</v>
      </c>
      <c r="Z4" s="15">
        <v>2.11</v>
      </c>
      <c r="AA4" s="204"/>
      <c r="AB4" s="205"/>
    </row>
    <row r="5" spans="1:28" ht="33.75" customHeight="1" thickBot="1" x14ac:dyDescent="0.3">
      <c r="B5" s="13" t="s">
        <v>7</v>
      </c>
      <c r="C5" s="37" t="s">
        <v>8</v>
      </c>
      <c r="D5" s="194"/>
      <c r="E5" s="195"/>
      <c r="F5" s="195"/>
      <c r="G5" s="194"/>
      <c r="H5" s="196"/>
      <c r="I5" s="34"/>
      <c r="L5" s="13" t="s">
        <v>7</v>
      </c>
      <c r="M5" s="37" t="s">
        <v>8</v>
      </c>
      <c r="N5" s="194"/>
      <c r="O5" s="195"/>
      <c r="P5" s="195"/>
      <c r="Q5" s="194"/>
      <c r="R5" s="196"/>
      <c r="S5" s="34"/>
      <c r="V5" s="13" t="s">
        <v>7</v>
      </c>
      <c r="W5" s="37" t="s">
        <v>8</v>
      </c>
      <c r="X5" s="194"/>
      <c r="Y5" s="195"/>
      <c r="Z5" s="195"/>
      <c r="AA5" s="194"/>
      <c r="AB5" s="196"/>
    </row>
    <row r="6" spans="1:28" ht="32.25" thickBot="1" x14ac:dyDescent="0.3">
      <c r="A6" s="4" t="s">
        <v>9</v>
      </c>
      <c r="B6" s="4" t="s">
        <v>10</v>
      </c>
      <c r="C6" s="4" t="s">
        <v>11</v>
      </c>
      <c r="D6" s="5" t="s">
        <v>15</v>
      </c>
      <c r="E6" s="5" t="s">
        <v>16</v>
      </c>
      <c r="F6" s="12" t="s">
        <v>21</v>
      </c>
      <c r="G6" s="5" t="s">
        <v>17</v>
      </c>
      <c r="H6" s="5" t="s">
        <v>12</v>
      </c>
      <c r="I6" s="34"/>
      <c r="K6" s="4" t="s">
        <v>9</v>
      </c>
      <c r="L6" s="4" t="s">
        <v>10</v>
      </c>
      <c r="M6" s="4" t="s">
        <v>11</v>
      </c>
      <c r="N6" s="5" t="s">
        <v>15</v>
      </c>
      <c r="O6" s="5" t="s">
        <v>16</v>
      </c>
      <c r="P6" s="12" t="s">
        <v>21</v>
      </c>
      <c r="Q6" s="5" t="s">
        <v>17</v>
      </c>
      <c r="R6" s="5" t="s">
        <v>12</v>
      </c>
      <c r="S6" s="34"/>
      <c r="U6" s="4" t="s">
        <v>9</v>
      </c>
      <c r="V6" s="4" t="s">
        <v>10</v>
      </c>
      <c r="W6" s="4" t="s">
        <v>11</v>
      </c>
      <c r="X6" s="5" t="s">
        <v>15</v>
      </c>
      <c r="Y6" s="5" t="s">
        <v>16</v>
      </c>
      <c r="Z6" s="12" t="s">
        <v>21</v>
      </c>
      <c r="AA6" s="5" t="s">
        <v>17</v>
      </c>
      <c r="AB6" s="5" t="s">
        <v>12</v>
      </c>
    </row>
    <row r="7" spans="1:28" ht="17.25" thickTop="1" thickBot="1" x14ac:dyDescent="0.3">
      <c r="A7" s="6">
        <v>10</v>
      </c>
      <c r="B7" s="9">
        <f t="shared" ref="B7:B15" si="0">D50</f>
        <v>0.43739999999999996</v>
      </c>
      <c r="C7" s="9">
        <f t="shared" ref="C7:C15" si="1">E50</f>
        <v>0.49609999999999999</v>
      </c>
      <c r="D7" s="11">
        <f>B7-$C$3</f>
        <v>0.15739999999999993</v>
      </c>
      <c r="E7" s="11">
        <f t="shared" ref="E7:E13" si="2">C7-$C$4</f>
        <v>0.17609999999999998</v>
      </c>
      <c r="F7" s="28">
        <f>(100%-$C$2)+$C$2*($F$4/$F$3)</f>
        <v>0.98425324675324666</v>
      </c>
      <c r="G7" s="11">
        <f>D7-E7*$F$7</f>
        <v>-1.5926996753246797E-2</v>
      </c>
      <c r="H7" s="10">
        <f t="shared" ref="H7:H13" si="3">G7</f>
        <v>-1.5926996753246797E-2</v>
      </c>
      <c r="I7" s="35"/>
      <c r="K7" s="6">
        <v>10</v>
      </c>
      <c r="L7" s="9">
        <f t="shared" ref="L7:L15" si="4">N50</f>
        <v>0.43739999999999996</v>
      </c>
      <c r="M7" s="9">
        <f t="shared" ref="M7:M15" si="5">O50</f>
        <v>0.498</v>
      </c>
      <c r="N7" s="11">
        <f t="shared" ref="N7:N15" si="6">L7-$M$3</f>
        <v>0.15739999999999993</v>
      </c>
      <c r="O7" s="11">
        <f t="shared" ref="O7:O13" si="7">M7-$M$4</f>
        <v>0.13800000000000001</v>
      </c>
      <c r="P7" s="28">
        <f>(100%-$M$2)+$M$2*($P$4/$P$3)</f>
        <v>0.96850649350649354</v>
      </c>
      <c r="Q7" s="11">
        <f>N7-O7*$P$7</f>
        <v>2.3746103896103821E-2</v>
      </c>
      <c r="R7" s="10">
        <f t="shared" ref="R7:R15" si="8">Q7</f>
        <v>2.3746103896103821E-2</v>
      </c>
      <c r="S7" s="35"/>
      <c r="U7" s="6">
        <v>10</v>
      </c>
      <c r="V7" s="9">
        <f t="shared" ref="V7:V15" si="9">X50</f>
        <v>0.43739999999999996</v>
      </c>
      <c r="W7" s="9">
        <f t="shared" ref="W7:W15" si="10">Y50</f>
        <v>0.44069999999999998</v>
      </c>
      <c r="X7" s="11">
        <f t="shared" ref="X7:X13" si="11">V7-$W$3</f>
        <v>0.15739999999999993</v>
      </c>
      <c r="Y7" s="11">
        <f t="shared" ref="Y7:Y13" si="12">W7-$W$4</f>
        <v>4.0699999999999958E-2</v>
      </c>
      <c r="Z7" s="28">
        <f t="shared" ref="Z7:Z15" si="13">(100%-$W$2)+$W$2*($Z$4/$Z$3)</f>
        <v>0.9527597402597402</v>
      </c>
      <c r="AA7" s="11">
        <f t="shared" ref="AA7:AA13" si="14">X7-Y7*$Z$7</f>
        <v>0.11862267857142855</v>
      </c>
      <c r="AB7" s="10">
        <f t="shared" ref="AB7:AB15" si="15">AA7</f>
        <v>0.11862267857142855</v>
      </c>
    </row>
    <row r="8" spans="1:28" ht="16.5" thickBot="1" x14ac:dyDescent="0.3">
      <c r="A8" s="6">
        <f t="shared" ref="A8:A15" si="16">A7+10</f>
        <v>20</v>
      </c>
      <c r="B8" s="9">
        <f t="shared" si="0"/>
        <v>0.47439999999999999</v>
      </c>
      <c r="C8" s="9">
        <f t="shared" si="1"/>
        <v>0.53310000000000002</v>
      </c>
      <c r="D8" s="11">
        <f t="shared" ref="D8:D13" si="17">B8-$C$3</f>
        <v>0.19439999999999996</v>
      </c>
      <c r="E8" s="11">
        <f t="shared" si="2"/>
        <v>0.21310000000000001</v>
      </c>
      <c r="F8" s="28">
        <f t="shared" ref="F8:F15" si="18">(100%-$C$2)+$C$2*($F$4/$F$3)</f>
        <v>0.98425324675324666</v>
      </c>
      <c r="G8" s="11">
        <f t="shared" ref="G8:G13" si="19">D8-E8*$F$7</f>
        <v>-1.5344366883116911E-2</v>
      </c>
      <c r="H8" s="10">
        <f t="shared" si="3"/>
        <v>-1.5344366883116911E-2</v>
      </c>
      <c r="I8" s="35"/>
      <c r="K8" s="6">
        <f t="shared" ref="K8:K15" si="20">K7+10</f>
        <v>20</v>
      </c>
      <c r="L8" s="9">
        <f t="shared" si="4"/>
        <v>0.47439999999999999</v>
      </c>
      <c r="M8" s="9">
        <f t="shared" si="5"/>
        <v>0.53500000000000003</v>
      </c>
      <c r="N8" s="11">
        <f t="shared" si="6"/>
        <v>0.19439999999999996</v>
      </c>
      <c r="O8" s="11">
        <f t="shared" si="7"/>
        <v>0.17500000000000004</v>
      </c>
      <c r="P8" s="28">
        <f t="shared" ref="P8:P15" si="21">(100%-$M$2)+$M$2*($P$4/$P$3)</f>
        <v>0.96850649350649354</v>
      </c>
      <c r="Q8" s="11">
        <f t="shared" ref="Q8:Q13" si="22">N8-O8*$P$7</f>
        <v>2.4911363636363537E-2</v>
      </c>
      <c r="R8" s="10">
        <f t="shared" si="8"/>
        <v>2.4911363636363537E-2</v>
      </c>
      <c r="S8" s="35"/>
      <c r="U8" s="6">
        <f t="shared" ref="U8:U15" si="23">U7+10</f>
        <v>20</v>
      </c>
      <c r="V8" s="9">
        <f t="shared" si="9"/>
        <v>0.47439999999999999</v>
      </c>
      <c r="W8" s="9">
        <f t="shared" si="10"/>
        <v>0.47770000000000001</v>
      </c>
      <c r="X8" s="11">
        <f t="shared" si="11"/>
        <v>0.19439999999999996</v>
      </c>
      <c r="Y8" s="11">
        <f t="shared" si="12"/>
        <v>7.7699999999999991E-2</v>
      </c>
      <c r="Z8" s="28">
        <f t="shared" si="13"/>
        <v>0.9527597402597402</v>
      </c>
      <c r="AA8" s="11">
        <f t="shared" si="14"/>
        <v>0.12037056818181815</v>
      </c>
      <c r="AB8" s="10">
        <f t="shared" si="15"/>
        <v>0.12037056818181815</v>
      </c>
    </row>
    <row r="9" spans="1:28" ht="16.5" thickBot="1" x14ac:dyDescent="0.3">
      <c r="A9" s="6">
        <f t="shared" si="16"/>
        <v>30</v>
      </c>
      <c r="B9" s="9">
        <f t="shared" si="0"/>
        <v>0.50539999999999996</v>
      </c>
      <c r="C9" s="9">
        <f t="shared" si="1"/>
        <v>0.56410000000000005</v>
      </c>
      <c r="D9" s="11">
        <f t="shared" si="17"/>
        <v>0.22539999999999993</v>
      </c>
      <c r="E9" s="11">
        <f t="shared" si="2"/>
        <v>0.24410000000000004</v>
      </c>
      <c r="F9" s="28">
        <f t="shared" si="18"/>
        <v>0.98425324675324666</v>
      </c>
      <c r="G9" s="11">
        <f t="shared" si="19"/>
        <v>-1.4856217532467603E-2</v>
      </c>
      <c r="H9" s="10">
        <f t="shared" si="3"/>
        <v>-1.4856217532467603E-2</v>
      </c>
      <c r="I9" s="35"/>
      <c r="K9" s="6">
        <f t="shared" si="20"/>
        <v>30</v>
      </c>
      <c r="L9" s="9">
        <f t="shared" si="4"/>
        <v>0.50539999999999996</v>
      </c>
      <c r="M9" s="9">
        <f t="shared" si="5"/>
        <v>0.56600000000000006</v>
      </c>
      <c r="N9" s="11">
        <f t="shared" si="6"/>
        <v>0.22539999999999993</v>
      </c>
      <c r="O9" s="11">
        <f t="shared" si="7"/>
        <v>0.20600000000000007</v>
      </c>
      <c r="P9" s="28">
        <f t="shared" si="21"/>
        <v>0.96850649350649354</v>
      </c>
      <c r="Q9" s="11">
        <f t="shared" si="22"/>
        <v>2.5887662337662182E-2</v>
      </c>
      <c r="R9" s="10">
        <f t="shared" si="8"/>
        <v>2.5887662337662182E-2</v>
      </c>
      <c r="S9" s="35"/>
      <c r="U9" s="6">
        <f t="shared" si="23"/>
        <v>30</v>
      </c>
      <c r="V9" s="9">
        <f t="shared" si="9"/>
        <v>0.50539999999999996</v>
      </c>
      <c r="W9" s="9">
        <f t="shared" si="10"/>
        <v>0.50870000000000004</v>
      </c>
      <c r="X9" s="11">
        <f t="shared" si="11"/>
        <v>0.22539999999999993</v>
      </c>
      <c r="Y9" s="11">
        <f t="shared" si="12"/>
        <v>0.10870000000000002</v>
      </c>
      <c r="Z9" s="28">
        <f t="shared" si="13"/>
        <v>0.9527597402597402</v>
      </c>
      <c r="AA9" s="11">
        <f t="shared" si="14"/>
        <v>0.12183501623376615</v>
      </c>
      <c r="AB9" s="10">
        <f t="shared" si="15"/>
        <v>0.12183501623376615</v>
      </c>
    </row>
    <row r="10" spans="1:28" ht="16.5" thickBot="1" x14ac:dyDescent="0.3">
      <c r="A10" s="6">
        <f t="shared" si="16"/>
        <v>40</v>
      </c>
      <c r="B10" s="9">
        <f t="shared" si="0"/>
        <v>0.53039999999999998</v>
      </c>
      <c r="C10" s="9">
        <f t="shared" si="1"/>
        <v>0.58909999999999996</v>
      </c>
      <c r="D10" s="11">
        <f t="shared" si="17"/>
        <v>0.25039999999999996</v>
      </c>
      <c r="E10" s="11">
        <f t="shared" si="2"/>
        <v>0.26909999999999995</v>
      </c>
      <c r="F10" s="28">
        <f t="shared" si="18"/>
        <v>0.98425324675324666</v>
      </c>
      <c r="G10" s="11">
        <f t="shared" si="19"/>
        <v>-1.446254870129865E-2</v>
      </c>
      <c r="H10" s="10">
        <f t="shared" si="3"/>
        <v>-1.446254870129865E-2</v>
      </c>
      <c r="I10" s="35"/>
      <c r="K10" s="6">
        <f t="shared" si="20"/>
        <v>40</v>
      </c>
      <c r="L10" s="9">
        <f t="shared" si="4"/>
        <v>0.53039999999999998</v>
      </c>
      <c r="M10" s="9">
        <f t="shared" si="5"/>
        <v>0.59099999999999997</v>
      </c>
      <c r="N10" s="11">
        <f t="shared" si="6"/>
        <v>0.25039999999999996</v>
      </c>
      <c r="O10" s="11">
        <f t="shared" si="7"/>
        <v>0.23099999999999998</v>
      </c>
      <c r="P10" s="28">
        <f t="shared" si="21"/>
        <v>0.96850649350649354</v>
      </c>
      <c r="Q10" s="11">
        <f t="shared" si="22"/>
        <v>2.6674999999999977E-2</v>
      </c>
      <c r="R10" s="10">
        <f t="shared" si="8"/>
        <v>2.6674999999999977E-2</v>
      </c>
      <c r="S10" s="35"/>
      <c r="U10" s="6">
        <f t="shared" si="23"/>
        <v>40</v>
      </c>
      <c r="V10" s="9">
        <f t="shared" si="9"/>
        <v>0.53039999999999998</v>
      </c>
      <c r="W10" s="9">
        <f t="shared" si="10"/>
        <v>0.53370000000000006</v>
      </c>
      <c r="X10" s="11">
        <f t="shared" si="11"/>
        <v>0.25039999999999996</v>
      </c>
      <c r="Y10" s="11">
        <f t="shared" si="12"/>
        <v>0.13370000000000004</v>
      </c>
      <c r="Z10" s="28">
        <f t="shared" si="13"/>
        <v>0.9527597402597402</v>
      </c>
      <c r="AA10" s="11">
        <f t="shared" si="14"/>
        <v>0.12301602272727266</v>
      </c>
      <c r="AB10" s="10">
        <f t="shared" si="15"/>
        <v>0.12301602272727266</v>
      </c>
    </row>
    <row r="11" spans="1:28" ht="16.5" thickBot="1" x14ac:dyDescent="0.3">
      <c r="A11" s="6">
        <f t="shared" si="16"/>
        <v>50</v>
      </c>
      <c r="B11" s="9">
        <f t="shared" si="0"/>
        <v>0.54939999999999989</v>
      </c>
      <c r="C11" s="9">
        <f t="shared" si="1"/>
        <v>0.60809999999999997</v>
      </c>
      <c r="D11" s="11">
        <f t="shared" si="17"/>
        <v>0.26939999999999986</v>
      </c>
      <c r="E11" s="11">
        <f t="shared" si="2"/>
        <v>0.28809999999999997</v>
      </c>
      <c r="F11" s="28">
        <f t="shared" si="18"/>
        <v>0.98425324675324666</v>
      </c>
      <c r="G11" s="11">
        <f t="shared" si="19"/>
        <v>-1.4163360389610469E-2</v>
      </c>
      <c r="H11" s="10">
        <f t="shared" si="3"/>
        <v>-1.4163360389610469E-2</v>
      </c>
      <c r="I11" s="35"/>
      <c r="K11" s="6">
        <f t="shared" si="20"/>
        <v>50</v>
      </c>
      <c r="L11" s="9">
        <f t="shared" si="4"/>
        <v>0.54939999999999989</v>
      </c>
      <c r="M11" s="9">
        <f t="shared" si="5"/>
        <v>0.61</v>
      </c>
      <c r="N11" s="11">
        <f t="shared" si="6"/>
        <v>0.26939999999999986</v>
      </c>
      <c r="O11" s="11">
        <f t="shared" si="7"/>
        <v>0.25</v>
      </c>
      <c r="P11" s="28">
        <f t="shared" si="21"/>
        <v>0.96850649350649354</v>
      </c>
      <c r="Q11" s="11">
        <f t="shared" si="22"/>
        <v>2.7273376623376477E-2</v>
      </c>
      <c r="R11" s="10">
        <f t="shared" si="8"/>
        <v>2.7273376623376477E-2</v>
      </c>
      <c r="S11" s="35"/>
      <c r="U11" s="6">
        <f t="shared" si="23"/>
        <v>50</v>
      </c>
      <c r="V11" s="9">
        <f t="shared" si="9"/>
        <v>0.54939999999999989</v>
      </c>
      <c r="W11" s="9">
        <f t="shared" si="10"/>
        <v>0.55269999999999997</v>
      </c>
      <c r="X11" s="11">
        <f t="shared" si="11"/>
        <v>0.26939999999999986</v>
      </c>
      <c r="Y11" s="11">
        <f t="shared" si="12"/>
        <v>0.15269999999999995</v>
      </c>
      <c r="Z11" s="28">
        <f t="shared" si="13"/>
        <v>0.9527597402597402</v>
      </c>
      <c r="AA11" s="11">
        <f t="shared" si="14"/>
        <v>0.12391358766233759</v>
      </c>
      <c r="AB11" s="10">
        <f t="shared" si="15"/>
        <v>0.12391358766233759</v>
      </c>
    </row>
    <row r="12" spans="1:28" ht="16.5" thickBot="1" x14ac:dyDescent="0.3">
      <c r="A12" s="6">
        <f t="shared" si="16"/>
        <v>60</v>
      </c>
      <c r="B12" s="9">
        <f t="shared" si="0"/>
        <v>0.56240000000000001</v>
      </c>
      <c r="C12" s="9">
        <f t="shared" si="1"/>
        <v>0.62109999999999999</v>
      </c>
      <c r="D12" s="11">
        <f t="shared" si="17"/>
        <v>0.28239999999999998</v>
      </c>
      <c r="E12" s="11">
        <f t="shared" si="2"/>
        <v>0.30109999999999998</v>
      </c>
      <c r="F12" s="28">
        <f t="shared" si="18"/>
        <v>0.98425324675324666</v>
      </c>
      <c r="G12" s="11">
        <f t="shared" si="19"/>
        <v>-1.3958652597402588E-2</v>
      </c>
      <c r="H12" s="10">
        <f t="shared" si="3"/>
        <v>-1.3958652597402588E-2</v>
      </c>
      <c r="I12" s="35"/>
      <c r="K12" s="6">
        <f t="shared" si="20"/>
        <v>60</v>
      </c>
      <c r="L12" s="9">
        <f t="shared" si="4"/>
        <v>0.56240000000000001</v>
      </c>
      <c r="M12" s="9">
        <f t="shared" si="5"/>
        <v>0.623</v>
      </c>
      <c r="N12" s="11">
        <f t="shared" si="6"/>
        <v>0.28239999999999998</v>
      </c>
      <c r="O12" s="11">
        <f t="shared" si="7"/>
        <v>0.26300000000000001</v>
      </c>
      <c r="P12" s="28">
        <f t="shared" si="21"/>
        <v>0.96850649350649354</v>
      </c>
      <c r="Q12" s="11">
        <f t="shared" si="22"/>
        <v>2.7682792207792184E-2</v>
      </c>
      <c r="R12" s="10">
        <f t="shared" si="8"/>
        <v>2.7682792207792184E-2</v>
      </c>
      <c r="S12" s="35"/>
      <c r="U12" s="6">
        <f t="shared" si="23"/>
        <v>60</v>
      </c>
      <c r="V12" s="9">
        <f t="shared" si="9"/>
        <v>0.56240000000000001</v>
      </c>
      <c r="W12" s="9">
        <f t="shared" si="10"/>
        <v>0.56569999999999998</v>
      </c>
      <c r="X12" s="11">
        <f t="shared" si="11"/>
        <v>0.28239999999999998</v>
      </c>
      <c r="Y12" s="11">
        <f t="shared" si="12"/>
        <v>0.16569999999999996</v>
      </c>
      <c r="Z12" s="28">
        <f t="shared" si="13"/>
        <v>0.9527597402597402</v>
      </c>
      <c r="AA12" s="11">
        <f t="shared" si="14"/>
        <v>0.12452771103896107</v>
      </c>
      <c r="AB12" s="10">
        <f t="shared" si="15"/>
        <v>0.12452771103896107</v>
      </c>
    </row>
    <row r="13" spans="1:28" ht="16.5" thickBot="1" x14ac:dyDescent="0.3">
      <c r="A13" s="6">
        <f t="shared" si="16"/>
        <v>70</v>
      </c>
      <c r="B13" s="9">
        <f t="shared" si="0"/>
        <v>0.56940000000000002</v>
      </c>
      <c r="C13" s="9">
        <f t="shared" si="1"/>
        <v>0.62809999999999999</v>
      </c>
      <c r="D13" s="11">
        <f t="shared" si="17"/>
        <v>0.28939999999999999</v>
      </c>
      <c r="E13" s="11">
        <f t="shared" si="2"/>
        <v>0.30809999999999998</v>
      </c>
      <c r="F13" s="28">
        <f t="shared" si="18"/>
        <v>0.98425324675324666</v>
      </c>
      <c r="G13" s="11">
        <f t="shared" si="19"/>
        <v>-1.3848425324675284E-2</v>
      </c>
      <c r="H13" s="10">
        <f t="shared" si="3"/>
        <v>-1.3848425324675284E-2</v>
      </c>
      <c r="I13" s="35"/>
      <c r="K13" s="6">
        <f t="shared" si="20"/>
        <v>70</v>
      </c>
      <c r="L13" s="9">
        <f t="shared" si="4"/>
        <v>0.56939999999999991</v>
      </c>
      <c r="M13" s="9">
        <f t="shared" si="5"/>
        <v>0.63</v>
      </c>
      <c r="N13" s="11">
        <f t="shared" si="6"/>
        <v>0.28939999999999988</v>
      </c>
      <c r="O13" s="11">
        <f t="shared" si="7"/>
        <v>0.27</v>
      </c>
      <c r="P13" s="28">
        <f t="shared" si="21"/>
        <v>0.96850649350649354</v>
      </c>
      <c r="Q13" s="11">
        <f t="shared" si="22"/>
        <v>2.7903246753246624E-2</v>
      </c>
      <c r="R13" s="10">
        <f t="shared" si="8"/>
        <v>2.7903246753246624E-2</v>
      </c>
      <c r="S13" s="35"/>
      <c r="U13" s="6">
        <f t="shared" si="23"/>
        <v>70</v>
      </c>
      <c r="V13" s="9">
        <f t="shared" si="9"/>
        <v>0.56939999999999991</v>
      </c>
      <c r="W13" s="9">
        <f t="shared" si="10"/>
        <v>0.57269999999999999</v>
      </c>
      <c r="X13" s="11">
        <f t="shared" si="11"/>
        <v>0.28939999999999988</v>
      </c>
      <c r="Y13" s="11">
        <f t="shared" si="12"/>
        <v>0.17269999999999996</v>
      </c>
      <c r="Z13" s="28">
        <f t="shared" si="13"/>
        <v>0.9527597402597402</v>
      </c>
      <c r="AA13" s="11">
        <f t="shared" si="14"/>
        <v>0.12485839285714279</v>
      </c>
      <c r="AB13" s="10">
        <f t="shared" si="15"/>
        <v>0.12485839285714279</v>
      </c>
    </row>
    <row r="14" spans="1:28" ht="16.5" thickBot="1" x14ac:dyDescent="0.3">
      <c r="A14" s="6">
        <f t="shared" si="16"/>
        <v>80</v>
      </c>
      <c r="B14" s="9">
        <f t="shared" si="0"/>
        <v>0.57040000000000002</v>
      </c>
      <c r="C14" s="9">
        <f t="shared" si="1"/>
        <v>0.62909999999999999</v>
      </c>
      <c r="D14" s="11">
        <f>B14-$C$3</f>
        <v>0.29039999999999999</v>
      </c>
      <c r="E14" s="11">
        <f>C14-$C$4</f>
        <v>0.30909999999999999</v>
      </c>
      <c r="F14" s="28">
        <f t="shared" si="18"/>
        <v>0.98425324675324666</v>
      </c>
      <c r="G14" s="11">
        <f>D14-E14*$F$7</f>
        <v>-1.3832678571428558E-2</v>
      </c>
      <c r="H14" s="10">
        <f>G14</f>
        <v>-1.3832678571428558E-2</v>
      </c>
      <c r="I14" s="35"/>
      <c r="K14" s="6">
        <f t="shared" si="20"/>
        <v>80</v>
      </c>
      <c r="L14" s="9">
        <f t="shared" si="4"/>
        <v>0.57040000000000002</v>
      </c>
      <c r="M14" s="9">
        <f t="shared" si="5"/>
        <v>0.63100000000000001</v>
      </c>
      <c r="N14" s="11">
        <f t="shared" si="6"/>
        <v>0.29039999999999999</v>
      </c>
      <c r="O14" s="11">
        <f>M14-$M$4</f>
        <v>0.27100000000000002</v>
      </c>
      <c r="P14" s="28">
        <f t="shared" si="21"/>
        <v>0.96850649350649354</v>
      </c>
      <c r="Q14" s="11">
        <f>N14-O14*$P$7</f>
        <v>2.7934740259740243E-2</v>
      </c>
      <c r="R14" s="10">
        <f t="shared" si="8"/>
        <v>2.7934740259740243E-2</v>
      </c>
      <c r="S14" s="35"/>
      <c r="U14" s="6">
        <f t="shared" si="23"/>
        <v>80</v>
      </c>
      <c r="V14" s="9">
        <f t="shared" si="9"/>
        <v>0.57040000000000002</v>
      </c>
      <c r="W14" s="9">
        <f t="shared" si="10"/>
        <v>0.57369999999999999</v>
      </c>
      <c r="X14" s="11">
        <f>V14-$W$3</f>
        <v>0.29039999999999999</v>
      </c>
      <c r="Y14" s="11">
        <f>W14-$W$4</f>
        <v>0.17369999999999997</v>
      </c>
      <c r="Z14" s="28">
        <f t="shared" si="13"/>
        <v>0.9527597402597402</v>
      </c>
      <c r="AA14" s="11">
        <f>X14-Y14*$Z$7</f>
        <v>0.12490563311688316</v>
      </c>
      <c r="AB14" s="10">
        <f t="shared" si="15"/>
        <v>0.12490563311688316</v>
      </c>
    </row>
    <row r="15" spans="1:28" ht="16.5" thickBot="1" x14ac:dyDescent="0.3">
      <c r="A15" s="6">
        <f t="shared" si="16"/>
        <v>90</v>
      </c>
      <c r="B15" s="9">
        <f t="shared" si="0"/>
        <v>0.5653999999999999</v>
      </c>
      <c r="C15" s="9">
        <f t="shared" si="1"/>
        <v>0.62409999999999988</v>
      </c>
      <c r="D15" s="11">
        <f>B15-$C$3</f>
        <v>0.28539999999999988</v>
      </c>
      <c r="E15" s="11">
        <f>C15-$C$4</f>
        <v>0.30409999999999987</v>
      </c>
      <c r="F15" s="28">
        <f t="shared" si="18"/>
        <v>0.98425324675324666</v>
      </c>
      <c r="G15" s="11">
        <f>D15-E15*$F$7</f>
        <v>-1.3911412337662299E-2</v>
      </c>
      <c r="H15" s="10">
        <f>G15</f>
        <v>-1.3911412337662299E-2</v>
      </c>
      <c r="I15" s="35"/>
      <c r="K15" s="6">
        <f t="shared" si="20"/>
        <v>90</v>
      </c>
      <c r="L15" s="9">
        <f t="shared" si="4"/>
        <v>0.5653999999999999</v>
      </c>
      <c r="M15" s="9">
        <f t="shared" si="5"/>
        <v>0.62599999999999989</v>
      </c>
      <c r="N15" s="11">
        <f t="shared" si="6"/>
        <v>0.28539999999999988</v>
      </c>
      <c r="O15" s="11">
        <f>M15-$M$4</f>
        <v>0.2659999999999999</v>
      </c>
      <c r="P15" s="28">
        <f t="shared" si="21"/>
        <v>0.96850649350649354</v>
      </c>
      <c r="Q15" s="11">
        <f>N15-O15*$P$7</f>
        <v>2.7777272727272706E-2</v>
      </c>
      <c r="R15" s="10">
        <f t="shared" si="8"/>
        <v>2.7777272727272706E-2</v>
      </c>
      <c r="S15" s="35"/>
      <c r="U15" s="6">
        <f t="shared" si="23"/>
        <v>90</v>
      </c>
      <c r="V15" s="9">
        <f t="shared" si="9"/>
        <v>0.5653999999999999</v>
      </c>
      <c r="W15" s="9">
        <f t="shared" si="10"/>
        <v>0.56869999999999998</v>
      </c>
      <c r="X15" s="11">
        <f>V15-$W$3</f>
        <v>0.28539999999999988</v>
      </c>
      <c r="Y15" s="11">
        <f>W15-$W$4</f>
        <v>0.16869999999999996</v>
      </c>
      <c r="Z15" s="28">
        <f t="shared" si="13"/>
        <v>0.9527597402597402</v>
      </c>
      <c r="AA15" s="11">
        <f>X15-Y15*$Z$7</f>
        <v>0.12466943181818174</v>
      </c>
      <c r="AB15" s="10">
        <f t="shared" si="15"/>
        <v>0.12466943181818174</v>
      </c>
    </row>
    <row r="16" spans="1:28" ht="16.5" thickBot="1" x14ac:dyDescent="0.3">
      <c r="A16" s="6"/>
      <c r="B16" s="7"/>
      <c r="C16" s="7"/>
      <c r="D16" s="208" t="s">
        <v>30</v>
      </c>
      <c r="E16" s="209"/>
      <c r="F16" s="209"/>
      <c r="G16" s="209"/>
      <c r="H16" s="40">
        <f>AVERAGE(H7:H15)</f>
        <v>-1.4478295454545462E-2</v>
      </c>
      <c r="I16" s="27"/>
      <c r="K16" s="7"/>
      <c r="L16" s="7"/>
      <c r="M16" s="7"/>
      <c r="N16" s="208" t="s">
        <v>30</v>
      </c>
      <c r="O16" s="209"/>
      <c r="P16" s="209"/>
      <c r="Q16" s="209"/>
      <c r="R16" s="40">
        <f>AVERAGE(R7:R15)</f>
        <v>2.6643506493506417E-2</v>
      </c>
      <c r="S16" s="27"/>
      <c r="U16" s="6"/>
      <c r="V16" s="9"/>
      <c r="W16" s="9"/>
      <c r="X16" s="208" t="s">
        <v>30</v>
      </c>
      <c r="Y16" s="209"/>
      <c r="Z16" s="209"/>
      <c r="AA16" s="209"/>
      <c r="AB16" s="40">
        <f>AVERAGE(AB7:AB15)</f>
        <v>0.12296878246753244</v>
      </c>
    </row>
    <row r="17" spans="1:19" ht="16.5" thickBot="1" x14ac:dyDescent="0.3">
      <c r="A17" s="27"/>
      <c r="B17" s="27"/>
      <c r="C17" s="27"/>
      <c r="D17" s="27"/>
      <c r="E17" s="27"/>
      <c r="F17" s="27"/>
      <c r="G17" s="27"/>
      <c r="H17" s="27"/>
      <c r="I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ht="16.5" thickTop="1" x14ac:dyDescent="0.25">
      <c r="A18" s="210" t="s">
        <v>11</v>
      </c>
      <c r="B18" s="212" t="s">
        <v>23</v>
      </c>
      <c r="C18" s="212"/>
      <c r="D18" s="212"/>
      <c r="E18" s="212"/>
      <c r="F18" s="27"/>
      <c r="G18" s="27"/>
      <c r="H18" s="27"/>
      <c r="I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ht="16.5" customHeight="1" thickBot="1" x14ac:dyDescent="0.3">
      <c r="A19" s="211"/>
      <c r="B19" s="30">
        <v>0</v>
      </c>
      <c r="C19" s="30">
        <v>0.05</v>
      </c>
      <c r="D19" s="30">
        <v>0.1</v>
      </c>
      <c r="E19" s="30">
        <v>0.15</v>
      </c>
    </row>
    <row r="20" spans="1:19" ht="16.5" thickTop="1" x14ac:dyDescent="0.25">
      <c r="A20" s="29">
        <v>0.4</v>
      </c>
      <c r="B20" s="31">
        <v>0</v>
      </c>
      <c r="C20" s="31" t="s">
        <v>24</v>
      </c>
      <c r="D20" s="31" t="s">
        <v>24</v>
      </c>
      <c r="E20" s="31" t="s">
        <v>24</v>
      </c>
    </row>
    <row r="21" spans="1:19" x14ac:dyDescent="0.25">
      <c r="A21" s="29">
        <v>0.45</v>
      </c>
      <c r="B21" s="31">
        <v>15</v>
      </c>
      <c r="C21" s="31">
        <v>3</v>
      </c>
      <c r="D21" s="31">
        <v>4</v>
      </c>
      <c r="E21" s="31">
        <v>9</v>
      </c>
    </row>
    <row r="22" spans="1:19" x14ac:dyDescent="0.25">
      <c r="A22" s="29">
        <v>0.5</v>
      </c>
      <c r="B22" s="31">
        <v>30</v>
      </c>
      <c r="C22" s="31">
        <v>9</v>
      </c>
      <c r="D22" s="31">
        <v>8</v>
      </c>
      <c r="E22" s="31">
        <v>23</v>
      </c>
    </row>
    <row r="23" spans="1:19" x14ac:dyDescent="0.25">
      <c r="A23" s="29">
        <v>0.55000000000000004</v>
      </c>
      <c r="B23" s="31">
        <v>40</v>
      </c>
      <c r="C23" s="31">
        <v>17</v>
      </c>
      <c r="D23" s="31">
        <v>30</v>
      </c>
      <c r="E23" s="31">
        <v>17</v>
      </c>
    </row>
    <row r="24" spans="1:19" x14ac:dyDescent="0.25">
      <c r="A24" s="29">
        <v>0.6</v>
      </c>
      <c r="B24" s="31">
        <v>92</v>
      </c>
      <c r="C24" s="31">
        <v>53</v>
      </c>
      <c r="D24" s="31">
        <v>54</v>
      </c>
      <c r="E24" s="31">
        <v>32</v>
      </c>
    </row>
    <row r="25" spans="1:19" ht="16.5" thickBot="1" x14ac:dyDescent="0.3">
      <c r="A25" s="36">
        <v>0.65</v>
      </c>
      <c r="B25" s="32" t="s">
        <v>24</v>
      </c>
      <c r="C25" s="32">
        <v>70</v>
      </c>
      <c r="D25" s="32">
        <v>63</v>
      </c>
      <c r="E25" s="32">
        <v>125</v>
      </c>
    </row>
    <row r="26" spans="1:19" ht="16.5" thickTop="1" x14ac:dyDescent="0.25"/>
    <row r="46" spans="3:25" ht="16.5" thickBot="1" x14ac:dyDescent="0.3"/>
    <row r="47" spans="3:25" ht="16.5" thickBot="1" x14ac:dyDescent="0.3">
      <c r="C47" s="184" t="s">
        <v>27</v>
      </c>
      <c r="D47" s="185"/>
      <c r="E47" s="186"/>
      <c r="M47" s="224" t="s">
        <v>27</v>
      </c>
      <c r="N47" s="225"/>
      <c r="O47" s="226"/>
      <c r="W47" s="227" t="s">
        <v>27</v>
      </c>
      <c r="X47" s="228"/>
      <c r="Y47" s="229"/>
    </row>
    <row r="48" spans="3:25" ht="16.5" thickBot="1" x14ac:dyDescent="0.3">
      <c r="C48" s="42" t="s">
        <v>26</v>
      </c>
      <c r="D48" s="67" t="s">
        <v>25</v>
      </c>
      <c r="E48" s="44" t="s">
        <v>28</v>
      </c>
      <c r="M48" s="42" t="s">
        <v>26</v>
      </c>
      <c r="N48" s="43" t="s">
        <v>25</v>
      </c>
      <c r="O48" s="44" t="s">
        <v>28</v>
      </c>
      <c r="W48" s="42" t="s">
        <v>26</v>
      </c>
      <c r="X48" s="43" t="s">
        <v>25</v>
      </c>
      <c r="Y48" s="44" t="s">
        <v>28</v>
      </c>
    </row>
    <row r="49" spans="3:25" x14ac:dyDescent="0.25">
      <c r="C49" s="48">
        <v>0</v>
      </c>
      <c r="D49" s="52">
        <f xml:space="preserve"> -0.00003*C49*C49 + 0.0046*C49 + 0.3944</f>
        <v>0.39439999999999997</v>
      </c>
      <c r="E49" s="50">
        <f>-3*10^(-5)*(C49)*(C49)+0.0046*(C49)+0.4531</f>
        <v>0.4531</v>
      </c>
      <c r="M49" s="48">
        <v>0</v>
      </c>
      <c r="N49" s="49">
        <f>-3*10^(-5)*(M49)*(M49)+0.0046*(M49)+0.3944</f>
        <v>0.39439999999999997</v>
      </c>
      <c r="O49" s="50">
        <f>-3*10^(-5)*(M49)*(M49)+0.0046*(M49)+0.455</f>
        <v>0.45500000000000002</v>
      </c>
      <c r="R49" s="59"/>
      <c r="W49" s="48">
        <v>0</v>
      </c>
      <c r="X49" s="49">
        <f>-3*10^(-5)*(W49)*(W49)+0.0046*(W49)+0.3944</f>
        <v>0.39439999999999997</v>
      </c>
      <c r="Y49" s="50">
        <f>-3*10^(-5)*(W49)*(W49)+0.0046*(W49)+0.3977</f>
        <v>0.3977</v>
      </c>
    </row>
    <row r="50" spans="3:25" x14ac:dyDescent="0.25">
      <c r="C50" s="51">
        <v>10</v>
      </c>
      <c r="D50" s="52">
        <f t="shared" ref="D50:D61" si="24" xml:space="preserve"> -0.00003*C50*C50 + 0.0046*C50 + 0.3944</f>
        <v>0.43739999999999996</v>
      </c>
      <c r="E50" s="50">
        <f t="shared" ref="E50:E61" si="25">-3*10^(-5)*(C50)*(C50)+0.0046*(C50)+0.4531</f>
        <v>0.49609999999999999</v>
      </c>
      <c r="M50" s="51">
        <v>10</v>
      </c>
      <c r="N50" s="52">
        <f>-3*10^(-5)*(M50)*(M50)+0.0046*(M50)+0.3944</f>
        <v>0.43739999999999996</v>
      </c>
      <c r="O50" s="53">
        <f>-3*10^(-5)*(M50)*(M50)+0.0046*(M50)+0.455</f>
        <v>0.498</v>
      </c>
      <c r="W50" s="51">
        <v>10</v>
      </c>
      <c r="X50" s="52">
        <f>-3*10^(-5)*(W50)*(W50)+0.0046*(W50)+0.3944</f>
        <v>0.43739999999999996</v>
      </c>
      <c r="Y50" s="53">
        <f t="shared" ref="Y50:Y61" si="26">-3*10^(-5)*(W50)*(W50)+0.0046*(W50)+0.3977</f>
        <v>0.44069999999999998</v>
      </c>
    </row>
    <row r="51" spans="3:25" x14ac:dyDescent="0.25">
      <c r="C51" s="51">
        <f>10+C50</f>
        <v>20</v>
      </c>
      <c r="D51" s="52">
        <f t="shared" si="24"/>
        <v>0.47439999999999999</v>
      </c>
      <c r="E51" s="50">
        <f t="shared" si="25"/>
        <v>0.53310000000000002</v>
      </c>
      <c r="M51" s="51">
        <f>10+M50</f>
        <v>20</v>
      </c>
      <c r="N51" s="52">
        <f>-3*10^(-5)*(M51)*(M51)+0.0046*(M51)+0.3944</f>
        <v>0.47439999999999999</v>
      </c>
      <c r="O51" s="53">
        <f t="shared" ref="O51:O61" si="27">-3*10^(-5)*(M51)*(M51)+0.0046*(M51)+0.455</f>
        <v>0.53500000000000003</v>
      </c>
      <c r="W51" s="51">
        <f>10+W50</f>
        <v>20</v>
      </c>
      <c r="X51" s="52">
        <f>-3*10^(-5)*(W51)*(W51)+0.0046*(W51)+0.3944</f>
        <v>0.47439999999999999</v>
      </c>
      <c r="Y51" s="53">
        <f t="shared" si="26"/>
        <v>0.47770000000000001</v>
      </c>
    </row>
    <row r="52" spans="3:25" x14ac:dyDescent="0.25">
      <c r="C52" s="51">
        <f t="shared" ref="C52:C60" si="28">10+C51</f>
        <v>30</v>
      </c>
      <c r="D52" s="52">
        <f t="shared" si="24"/>
        <v>0.50539999999999996</v>
      </c>
      <c r="E52" s="50">
        <f t="shared" si="25"/>
        <v>0.56410000000000005</v>
      </c>
      <c r="M52" s="51">
        <f t="shared" ref="M52:M60" si="29">10+M51</f>
        <v>30</v>
      </c>
      <c r="N52" s="52">
        <f t="shared" ref="N52:N61" si="30">-3*10^(-5)*(M52)*(M52)+0.0046*(M52)+0.3944</f>
        <v>0.50539999999999996</v>
      </c>
      <c r="O52" s="53">
        <f t="shared" si="27"/>
        <v>0.56600000000000006</v>
      </c>
      <c r="W52" s="51">
        <f t="shared" ref="W52:W60" si="31">10+W51</f>
        <v>30</v>
      </c>
      <c r="X52" s="52">
        <f t="shared" ref="X52:X61" si="32">-3*10^(-5)*(W52)*(W52)+0.0046*(W52)+0.3944</f>
        <v>0.50539999999999996</v>
      </c>
      <c r="Y52" s="53">
        <f t="shared" si="26"/>
        <v>0.50870000000000004</v>
      </c>
    </row>
    <row r="53" spans="3:25" x14ac:dyDescent="0.25">
      <c r="C53" s="51">
        <f t="shared" si="28"/>
        <v>40</v>
      </c>
      <c r="D53" s="52">
        <f t="shared" si="24"/>
        <v>0.53039999999999998</v>
      </c>
      <c r="E53" s="50">
        <f t="shared" si="25"/>
        <v>0.58909999999999996</v>
      </c>
      <c r="M53" s="51">
        <f t="shared" si="29"/>
        <v>40</v>
      </c>
      <c r="N53" s="52">
        <f t="shared" si="30"/>
        <v>0.53039999999999998</v>
      </c>
      <c r="O53" s="53">
        <f t="shared" si="27"/>
        <v>0.59099999999999997</v>
      </c>
      <c r="W53" s="51">
        <f t="shared" si="31"/>
        <v>40</v>
      </c>
      <c r="X53" s="52">
        <f t="shared" si="32"/>
        <v>0.53039999999999998</v>
      </c>
      <c r="Y53" s="53">
        <f t="shared" si="26"/>
        <v>0.53370000000000006</v>
      </c>
    </row>
    <row r="54" spans="3:25" x14ac:dyDescent="0.25">
      <c r="C54" s="51">
        <f t="shared" si="28"/>
        <v>50</v>
      </c>
      <c r="D54" s="52">
        <f t="shared" si="24"/>
        <v>0.54939999999999989</v>
      </c>
      <c r="E54" s="50">
        <f t="shared" si="25"/>
        <v>0.60809999999999997</v>
      </c>
      <c r="M54" s="51">
        <f t="shared" si="29"/>
        <v>50</v>
      </c>
      <c r="N54" s="52">
        <f t="shared" si="30"/>
        <v>0.54939999999999989</v>
      </c>
      <c r="O54" s="53">
        <f t="shared" si="27"/>
        <v>0.61</v>
      </c>
      <c r="W54" s="51">
        <f t="shared" si="31"/>
        <v>50</v>
      </c>
      <c r="X54" s="52">
        <f t="shared" si="32"/>
        <v>0.54939999999999989</v>
      </c>
      <c r="Y54" s="53">
        <f t="shared" si="26"/>
        <v>0.55269999999999997</v>
      </c>
    </row>
    <row r="55" spans="3:25" x14ac:dyDescent="0.25">
      <c r="C55" s="51">
        <f t="shared" si="28"/>
        <v>60</v>
      </c>
      <c r="D55" s="52">
        <f t="shared" si="24"/>
        <v>0.56240000000000001</v>
      </c>
      <c r="E55" s="50">
        <f t="shared" si="25"/>
        <v>0.62109999999999999</v>
      </c>
      <c r="M55" s="51">
        <f t="shared" si="29"/>
        <v>60</v>
      </c>
      <c r="N55" s="52">
        <f t="shared" si="30"/>
        <v>0.56240000000000001</v>
      </c>
      <c r="O55" s="53">
        <f t="shared" si="27"/>
        <v>0.623</v>
      </c>
      <c r="W55" s="51">
        <f t="shared" si="31"/>
        <v>60</v>
      </c>
      <c r="X55" s="52">
        <f t="shared" si="32"/>
        <v>0.56240000000000001</v>
      </c>
      <c r="Y55" s="53">
        <f t="shared" si="26"/>
        <v>0.56569999999999998</v>
      </c>
    </row>
    <row r="56" spans="3:25" x14ac:dyDescent="0.25">
      <c r="C56" s="51">
        <f t="shared" si="28"/>
        <v>70</v>
      </c>
      <c r="D56" s="52">
        <f t="shared" si="24"/>
        <v>0.56940000000000002</v>
      </c>
      <c r="E56" s="50">
        <f t="shared" si="25"/>
        <v>0.62809999999999999</v>
      </c>
      <c r="M56" s="51">
        <f t="shared" si="29"/>
        <v>70</v>
      </c>
      <c r="N56" s="52">
        <f t="shared" si="30"/>
        <v>0.56939999999999991</v>
      </c>
      <c r="O56" s="53">
        <f t="shared" si="27"/>
        <v>0.63</v>
      </c>
      <c r="W56" s="51">
        <f t="shared" si="31"/>
        <v>70</v>
      </c>
      <c r="X56" s="52">
        <f t="shared" si="32"/>
        <v>0.56939999999999991</v>
      </c>
      <c r="Y56" s="53">
        <f t="shared" si="26"/>
        <v>0.57269999999999999</v>
      </c>
    </row>
    <row r="57" spans="3:25" x14ac:dyDescent="0.25">
      <c r="C57" s="51">
        <f t="shared" si="28"/>
        <v>80</v>
      </c>
      <c r="D57" s="52">
        <f t="shared" si="24"/>
        <v>0.57040000000000002</v>
      </c>
      <c r="E57" s="50">
        <f t="shared" si="25"/>
        <v>0.62909999999999999</v>
      </c>
      <c r="M57" s="51">
        <f t="shared" si="29"/>
        <v>80</v>
      </c>
      <c r="N57" s="52">
        <f t="shared" si="30"/>
        <v>0.57040000000000002</v>
      </c>
      <c r="O57" s="53">
        <f t="shared" si="27"/>
        <v>0.63100000000000001</v>
      </c>
      <c r="W57" s="51">
        <f t="shared" si="31"/>
        <v>80</v>
      </c>
      <c r="X57" s="52">
        <f t="shared" si="32"/>
        <v>0.57040000000000002</v>
      </c>
      <c r="Y57" s="53">
        <f t="shared" si="26"/>
        <v>0.57369999999999999</v>
      </c>
    </row>
    <row r="58" spans="3:25" x14ac:dyDescent="0.25">
      <c r="C58" s="51">
        <f t="shared" si="28"/>
        <v>90</v>
      </c>
      <c r="D58" s="52">
        <f t="shared" si="24"/>
        <v>0.5653999999999999</v>
      </c>
      <c r="E58" s="50">
        <f t="shared" si="25"/>
        <v>0.62409999999999988</v>
      </c>
      <c r="M58" s="51">
        <f t="shared" si="29"/>
        <v>90</v>
      </c>
      <c r="N58" s="52">
        <f t="shared" si="30"/>
        <v>0.5653999999999999</v>
      </c>
      <c r="O58" s="53">
        <f t="shared" si="27"/>
        <v>0.62599999999999989</v>
      </c>
      <c r="W58" s="51">
        <f t="shared" si="31"/>
        <v>90</v>
      </c>
      <c r="X58" s="52">
        <f t="shared" si="32"/>
        <v>0.5653999999999999</v>
      </c>
      <c r="Y58" s="53">
        <f t="shared" si="26"/>
        <v>0.56869999999999998</v>
      </c>
    </row>
    <row r="59" spans="3:25" x14ac:dyDescent="0.25">
      <c r="C59" s="51">
        <f t="shared" si="28"/>
        <v>100</v>
      </c>
      <c r="D59" s="52">
        <f t="shared" si="24"/>
        <v>0.5544</v>
      </c>
      <c r="E59" s="50">
        <f t="shared" si="25"/>
        <v>0.61309999999999998</v>
      </c>
      <c r="M59" s="51">
        <f t="shared" si="29"/>
        <v>100</v>
      </c>
      <c r="N59" s="52">
        <f t="shared" si="30"/>
        <v>0.55439999999999989</v>
      </c>
      <c r="O59" s="53">
        <f t="shared" si="27"/>
        <v>0.61499999999999999</v>
      </c>
      <c r="W59" s="51">
        <f t="shared" si="31"/>
        <v>100</v>
      </c>
      <c r="X59" s="52">
        <f t="shared" si="32"/>
        <v>0.55439999999999989</v>
      </c>
      <c r="Y59" s="53">
        <f t="shared" si="26"/>
        <v>0.55769999999999986</v>
      </c>
    </row>
    <row r="60" spans="3:25" x14ac:dyDescent="0.25">
      <c r="C60" s="51">
        <f t="shared" si="28"/>
        <v>110</v>
      </c>
      <c r="D60" s="52">
        <f t="shared" si="24"/>
        <v>0.53739999999999999</v>
      </c>
      <c r="E60" s="50">
        <f t="shared" si="25"/>
        <v>0.59609999999999996</v>
      </c>
      <c r="M60" s="51">
        <f t="shared" si="29"/>
        <v>110</v>
      </c>
      <c r="N60" s="52">
        <f t="shared" si="30"/>
        <v>0.53739999999999988</v>
      </c>
      <c r="O60" s="53">
        <f t="shared" si="27"/>
        <v>0.59799999999999998</v>
      </c>
      <c r="W60" s="51">
        <f t="shared" si="31"/>
        <v>110</v>
      </c>
      <c r="X60" s="52">
        <f t="shared" si="32"/>
        <v>0.53739999999999988</v>
      </c>
      <c r="Y60" s="53">
        <f t="shared" si="26"/>
        <v>0.54069999999999996</v>
      </c>
    </row>
    <row r="61" spans="3:25" ht="16.5" thickBot="1" x14ac:dyDescent="0.3">
      <c r="C61" s="54">
        <f>10+C60</f>
        <v>120</v>
      </c>
      <c r="D61" s="52">
        <f t="shared" si="24"/>
        <v>0.51439999999999997</v>
      </c>
      <c r="E61" s="50">
        <f t="shared" si="25"/>
        <v>0.57309999999999994</v>
      </c>
      <c r="M61" s="54">
        <f>10+M60</f>
        <v>120</v>
      </c>
      <c r="N61" s="55">
        <f t="shared" si="30"/>
        <v>0.51439999999999997</v>
      </c>
      <c r="O61" s="56">
        <f t="shared" si="27"/>
        <v>0.57499999999999996</v>
      </c>
      <c r="W61" s="54">
        <f>10+W60</f>
        <v>120</v>
      </c>
      <c r="X61" s="55">
        <f t="shared" si="32"/>
        <v>0.51439999999999997</v>
      </c>
      <c r="Y61" s="56">
        <f t="shared" si="26"/>
        <v>0.51770000000000005</v>
      </c>
    </row>
  </sheetData>
  <mergeCells count="23">
    <mergeCell ref="A18:A19"/>
    <mergeCell ref="B18:E18"/>
    <mergeCell ref="C47:E47"/>
    <mergeCell ref="M47:O47"/>
    <mergeCell ref="X5:AB5"/>
    <mergeCell ref="D5:H5"/>
    <mergeCell ref="N5:R5"/>
    <mergeCell ref="D16:G16"/>
    <mergeCell ref="N16:Q16"/>
    <mergeCell ref="X16:AA16"/>
    <mergeCell ref="W47:Y47"/>
    <mergeCell ref="U1:AB1"/>
    <mergeCell ref="X2:AB2"/>
    <mergeCell ref="X3:X4"/>
    <mergeCell ref="AA3:AB4"/>
    <mergeCell ref="A1:H1"/>
    <mergeCell ref="K1:R1"/>
    <mergeCell ref="D2:H2"/>
    <mergeCell ref="N2:R2"/>
    <mergeCell ref="D3:D4"/>
    <mergeCell ref="G3:H4"/>
    <mergeCell ref="N3:N4"/>
    <mergeCell ref="Q3:R4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K63"/>
  <sheetViews>
    <sheetView topLeftCell="B7" workbookViewId="0">
      <selection activeCell="D22" sqref="D22"/>
    </sheetView>
  </sheetViews>
  <sheetFormatPr defaultRowHeight="15.75" x14ac:dyDescent="0.25"/>
  <cols>
    <col min="1" max="1" width="9.140625" style="41"/>
    <col min="2" max="2" width="14" style="41" customWidth="1"/>
    <col min="3" max="3" width="37.140625" style="41" customWidth="1"/>
    <col min="4" max="4" width="17" style="41" bestFit="1" customWidth="1"/>
    <col min="5" max="5" width="18.42578125" style="41" customWidth="1"/>
    <col min="6" max="7" width="9.140625" style="41"/>
    <col min="8" max="8" width="17" style="41" customWidth="1"/>
    <col min="9" max="16384" width="9.140625" style="41"/>
  </cols>
  <sheetData>
    <row r="1" spans="3:10" x14ac:dyDescent="0.25">
      <c r="C1" s="104" t="s">
        <v>98</v>
      </c>
      <c r="D1" s="100"/>
    </row>
    <row r="2" spans="3:10" x14ac:dyDescent="0.25">
      <c r="C2" s="88" t="s">
        <v>99</v>
      </c>
      <c r="D2" s="76" t="s">
        <v>114</v>
      </c>
      <c r="E2" t="s">
        <v>191</v>
      </c>
      <c r="F2" t="s">
        <v>201</v>
      </c>
    </row>
    <row r="3" spans="3:10" x14ac:dyDescent="0.25">
      <c r="C3" s="88" t="s">
        <v>100</v>
      </c>
      <c r="D3" s="76" t="s">
        <v>163</v>
      </c>
    </row>
    <row r="4" spans="3:10" x14ac:dyDescent="0.25">
      <c r="C4" s="104" t="s">
        <v>112</v>
      </c>
      <c r="D4" s="100"/>
    </row>
    <row r="5" spans="3:10" x14ac:dyDescent="0.25">
      <c r="C5" s="88" t="s">
        <v>101</v>
      </c>
      <c r="D5" s="76" t="s">
        <v>116</v>
      </c>
    </row>
    <row r="6" spans="3:10" x14ac:dyDescent="0.25">
      <c r="C6" s="88" t="s">
        <v>102</v>
      </c>
      <c r="D6" s="76" t="s">
        <v>117</v>
      </c>
    </row>
    <row r="7" spans="3:10" x14ac:dyDescent="0.25">
      <c r="C7" s="88" t="s">
        <v>103</v>
      </c>
      <c r="D7" s="76">
        <v>2.63</v>
      </c>
      <c r="J7" s="41" t="s">
        <v>186</v>
      </c>
    </row>
    <row r="8" spans="3:10" x14ac:dyDescent="0.25">
      <c r="C8" s="88" t="s">
        <v>111</v>
      </c>
      <c r="D8" s="77">
        <v>2.5000000000000001E-2</v>
      </c>
    </row>
    <row r="9" spans="3:10" x14ac:dyDescent="0.25">
      <c r="C9" s="104" t="s">
        <v>113</v>
      </c>
      <c r="D9" s="100"/>
    </row>
    <row r="10" spans="3:10" x14ac:dyDescent="0.25">
      <c r="C10" s="88" t="s">
        <v>104</v>
      </c>
      <c r="D10" s="77">
        <v>0.34399999999999997</v>
      </c>
    </row>
    <row r="11" spans="3:10" x14ac:dyDescent="0.25">
      <c r="C11" s="88" t="s">
        <v>103</v>
      </c>
      <c r="D11" s="76">
        <v>2.63</v>
      </c>
    </row>
    <row r="12" spans="3:10" x14ac:dyDescent="0.25">
      <c r="C12" s="88" t="s">
        <v>111</v>
      </c>
      <c r="D12" s="78">
        <v>0.01</v>
      </c>
    </row>
    <row r="13" spans="3:10" x14ac:dyDescent="0.25">
      <c r="C13" s="104" t="s">
        <v>87</v>
      </c>
      <c r="D13" s="100"/>
    </row>
    <row r="14" spans="3:10" x14ac:dyDescent="0.25">
      <c r="C14" s="88" t="s">
        <v>101</v>
      </c>
      <c r="D14" s="76" t="s">
        <v>118</v>
      </c>
    </row>
    <row r="15" spans="3:10" x14ac:dyDescent="0.25">
      <c r="C15" s="88" t="s">
        <v>105</v>
      </c>
      <c r="D15" s="76">
        <v>42.5</v>
      </c>
    </row>
    <row r="16" spans="3:10" x14ac:dyDescent="0.25">
      <c r="C16" s="89" t="s">
        <v>109</v>
      </c>
      <c r="D16" s="78">
        <f>'f, CEM II'!M3</f>
        <v>0.28000000000000003</v>
      </c>
    </row>
    <row r="17" spans="1:11" x14ac:dyDescent="0.25">
      <c r="C17" s="88" t="s">
        <v>103</v>
      </c>
      <c r="D17" s="76">
        <v>3.11</v>
      </c>
    </row>
    <row r="18" spans="1:11" x14ac:dyDescent="0.25">
      <c r="C18" s="104" t="s">
        <v>8</v>
      </c>
      <c r="D18" s="100"/>
    </row>
    <row r="19" spans="1:11" x14ac:dyDescent="0.25">
      <c r="C19" s="88" t="s">
        <v>103</v>
      </c>
      <c r="D19" s="76">
        <v>2.08</v>
      </c>
    </row>
    <row r="20" spans="1:11" x14ac:dyDescent="0.25">
      <c r="C20" s="88" t="s">
        <v>106</v>
      </c>
      <c r="D20" s="76" t="s">
        <v>24</v>
      </c>
    </row>
    <row r="21" spans="1:11" x14ac:dyDescent="0.25">
      <c r="C21" s="88" t="s">
        <v>29</v>
      </c>
      <c r="D21" s="78">
        <v>0.1</v>
      </c>
    </row>
    <row r="22" spans="1:11" x14ac:dyDescent="0.25">
      <c r="C22" s="89" t="s">
        <v>107</v>
      </c>
      <c r="D22" s="156">
        <f>'e, CEM II'!J8</f>
        <v>1.03805088331659</v>
      </c>
    </row>
    <row r="23" spans="1:11" x14ac:dyDescent="0.25">
      <c r="C23" s="89" t="s">
        <v>108</v>
      </c>
      <c r="D23" s="156">
        <f>'f, CEM II'!R16</f>
        <v>2.6643506493506417E-2</v>
      </c>
    </row>
    <row r="24" spans="1:11" x14ac:dyDescent="0.25">
      <c r="C24" s="89" t="s">
        <v>109</v>
      </c>
      <c r="D24" s="157">
        <f>'f, CEM II'!M4</f>
        <v>0.36</v>
      </c>
    </row>
    <row r="25" spans="1:11" x14ac:dyDescent="0.25">
      <c r="C25" s="88" t="s">
        <v>110</v>
      </c>
      <c r="D25" s="158">
        <f>'f, CEM II'!P15</f>
        <v>0.96850649350649354</v>
      </c>
    </row>
    <row r="26" spans="1:11" x14ac:dyDescent="0.25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</row>
    <row r="27" spans="1:11" x14ac:dyDescent="0.25">
      <c r="A27" s="90" t="s">
        <v>35</v>
      </c>
      <c r="B27" s="90" t="s">
        <v>36</v>
      </c>
      <c r="C27" s="90" t="s">
        <v>37</v>
      </c>
      <c r="D27" s="237" t="s">
        <v>38</v>
      </c>
      <c r="E27" s="237"/>
      <c r="F27" s="237"/>
      <c r="G27" s="237"/>
      <c r="H27" s="237"/>
      <c r="I27" s="237"/>
      <c r="J27" s="75"/>
      <c r="K27" s="75"/>
    </row>
    <row r="28" spans="1:11" x14ac:dyDescent="0.25">
      <c r="A28" s="237">
        <v>1</v>
      </c>
      <c r="B28" s="91">
        <v>1.1000000000000001</v>
      </c>
      <c r="C28" s="92" t="s">
        <v>39</v>
      </c>
      <c r="D28" s="90" t="s">
        <v>40</v>
      </c>
      <c r="E28" s="79">
        <v>20</v>
      </c>
      <c r="F28" s="90" t="s">
        <v>41</v>
      </c>
      <c r="G28" s="90" t="s">
        <v>42</v>
      </c>
      <c r="H28" s="153">
        <v>28</v>
      </c>
      <c r="I28" s="90" t="s">
        <v>43</v>
      </c>
      <c r="J28" s="75"/>
      <c r="K28" s="75"/>
    </row>
    <row r="29" spans="1:11" x14ac:dyDescent="0.25">
      <c r="A29" s="237"/>
      <c r="B29" s="235">
        <v>1.2</v>
      </c>
      <c r="C29" s="233" t="s">
        <v>44</v>
      </c>
      <c r="D29" s="90" t="s">
        <v>40</v>
      </c>
      <c r="E29" s="90" t="s">
        <v>61</v>
      </c>
      <c r="F29" s="80">
        <v>0.05</v>
      </c>
      <c r="G29" s="90" t="s">
        <v>49</v>
      </c>
      <c r="H29" s="79">
        <v>1.64</v>
      </c>
      <c r="I29" s="101">
        <v>0</v>
      </c>
      <c r="J29" s="75"/>
      <c r="K29" s="75"/>
    </row>
    <row r="30" spans="1:11" x14ac:dyDescent="0.25">
      <c r="A30" s="237"/>
      <c r="B30" s="236"/>
      <c r="C30" s="234"/>
      <c r="D30" s="90" t="s">
        <v>45</v>
      </c>
      <c r="E30" s="94"/>
      <c r="F30" s="90" t="s">
        <v>47</v>
      </c>
      <c r="G30" s="94"/>
      <c r="H30" s="79">
        <f>'BRE prompts'!B18</f>
        <v>4</v>
      </c>
      <c r="I30" s="90" t="s">
        <v>41</v>
      </c>
      <c r="J30" s="75"/>
      <c r="K30" s="75"/>
    </row>
    <row r="31" spans="1:11" x14ac:dyDescent="0.25">
      <c r="A31" s="237"/>
      <c r="B31" s="91">
        <v>1.3</v>
      </c>
      <c r="C31" s="90" t="s">
        <v>46</v>
      </c>
      <c r="D31" s="93" t="s">
        <v>48</v>
      </c>
      <c r="E31" s="101"/>
      <c r="F31" s="101"/>
      <c r="G31" s="90" t="s">
        <v>50</v>
      </c>
      <c r="H31" s="81">
        <f>H30*H29</f>
        <v>6.56</v>
      </c>
      <c r="I31" s="90" t="s">
        <v>41</v>
      </c>
      <c r="J31" s="75"/>
      <c r="K31" s="75"/>
    </row>
    <row r="32" spans="1:11" x14ac:dyDescent="0.25">
      <c r="A32" s="237"/>
      <c r="B32" s="91">
        <v>1.4</v>
      </c>
      <c r="C32" s="90" t="s">
        <v>51</v>
      </c>
      <c r="D32" s="90" t="s">
        <v>52</v>
      </c>
      <c r="E32" s="232"/>
      <c r="F32" s="232"/>
      <c r="G32" s="232"/>
      <c r="H32" s="81">
        <f>E28+H31</f>
        <v>26.56</v>
      </c>
      <c r="I32" s="90" t="s">
        <v>41</v>
      </c>
      <c r="J32" s="75"/>
      <c r="K32" s="75"/>
    </row>
    <row r="33" spans="1:11" x14ac:dyDescent="0.25">
      <c r="A33" s="237"/>
      <c r="B33" s="91">
        <v>1.5</v>
      </c>
      <c r="C33" s="90" t="s">
        <v>53</v>
      </c>
      <c r="D33" s="90" t="s">
        <v>40</v>
      </c>
      <c r="E33" s="101"/>
      <c r="F33" s="101"/>
      <c r="G33" s="101"/>
      <c r="H33" s="79">
        <v>42.5</v>
      </c>
      <c r="I33" s="101"/>
      <c r="J33" s="75"/>
      <c r="K33" s="75"/>
    </row>
    <row r="34" spans="1:11" x14ac:dyDescent="0.25">
      <c r="A34" s="237"/>
      <c r="B34" s="235" t="s">
        <v>153</v>
      </c>
      <c r="C34" s="149" t="s">
        <v>54</v>
      </c>
      <c r="D34" s="233" t="s">
        <v>40</v>
      </c>
      <c r="E34" s="150"/>
      <c r="F34" s="150"/>
      <c r="G34" s="150"/>
      <c r="H34" s="151" t="s">
        <v>116</v>
      </c>
      <c r="I34" s="150"/>
      <c r="J34" s="75"/>
      <c r="K34" s="75"/>
    </row>
    <row r="35" spans="1:11" x14ac:dyDescent="0.25">
      <c r="A35" s="237"/>
      <c r="B35" s="236"/>
      <c r="C35" s="149" t="s">
        <v>55</v>
      </c>
      <c r="D35" s="234"/>
      <c r="E35" s="150"/>
      <c r="F35" s="150"/>
      <c r="G35" s="150"/>
      <c r="H35" s="151" t="s">
        <v>116</v>
      </c>
      <c r="I35" s="150"/>
      <c r="J35" s="75"/>
      <c r="K35" s="75"/>
    </row>
    <row r="36" spans="1:11" x14ac:dyDescent="0.25">
      <c r="A36" s="237"/>
      <c r="B36" s="91" t="s">
        <v>154</v>
      </c>
      <c r="C36" s="88" t="s">
        <v>156</v>
      </c>
      <c r="D36" s="88"/>
      <c r="E36" s="155">
        <v>28</v>
      </c>
      <c r="F36" s="154" t="s">
        <v>43</v>
      </c>
      <c r="G36" s="102"/>
      <c r="H36" s="82">
        <f>'BRE prompts'!B12</f>
        <v>22</v>
      </c>
      <c r="I36" s="90" t="s">
        <v>41</v>
      </c>
      <c r="J36" s="75"/>
      <c r="K36" s="75"/>
    </row>
    <row r="37" spans="1:11" x14ac:dyDescent="0.25">
      <c r="A37" s="237"/>
      <c r="B37" s="91" t="s">
        <v>155</v>
      </c>
      <c r="C37" s="90" t="s">
        <v>71</v>
      </c>
      <c r="D37" s="90" t="s">
        <v>70</v>
      </c>
      <c r="E37" s="101"/>
      <c r="F37" s="101"/>
      <c r="G37" s="101"/>
      <c r="H37" s="84">
        <f>H36*D22</f>
        <v>22.837119432964979</v>
      </c>
      <c r="I37" s="90" t="s">
        <v>41</v>
      </c>
      <c r="J37" s="75"/>
      <c r="K37" s="75"/>
    </row>
    <row r="38" spans="1:11" x14ac:dyDescent="0.25">
      <c r="A38" s="237"/>
      <c r="B38" s="91">
        <v>1.9</v>
      </c>
      <c r="C38" s="90" t="s">
        <v>56</v>
      </c>
      <c r="D38" s="90" t="s">
        <v>57</v>
      </c>
      <c r="E38" s="238">
        <v>0.77</v>
      </c>
      <c r="F38" s="238"/>
      <c r="G38" s="237" t="s">
        <v>60</v>
      </c>
      <c r="H38" s="238">
        <v>0.6</v>
      </c>
      <c r="I38" s="232"/>
      <c r="J38" s="75"/>
      <c r="K38" s="75"/>
    </row>
    <row r="39" spans="1:11" x14ac:dyDescent="0.25">
      <c r="A39" s="237"/>
      <c r="B39" s="91" t="s">
        <v>119</v>
      </c>
      <c r="C39" s="90" t="s">
        <v>58</v>
      </c>
      <c r="D39" s="90" t="s">
        <v>40</v>
      </c>
      <c r="E39" s="239" t="s">
        <v>24</v>
      </c>
      <c r="F39" s="239"/>
      <c r="G39" s="237"/>
      <c r="H39" s="238"/>
      <c r="I39" s="232"/>
      <c r="J39" s="75"/>
      <c r="K39" s="75"/>
    </row>
    <row r="40" spans="1:11" x14ac:dyDescent="0.25">
      <c r="A40" s="237">
        <v>2</v>
      </c>
      <c r="B40" s="90">
        <v>2.1</v>
      </c>
      <c r="C40" s="90" t="s">
        <v>62</v>
      </c>
      <c r="D40" s="90" t="s">
        <v>40</v>
      </c>
      <c r="E40" s="101"/>
      <c r="F40" s="101"/>
      <c r="G40" s="101"/>
      <c r="H40" s="83" t="s">
        <v>135</v>
      </c>
      <c r="I40" s="90" t="s">
        <v>63</v>
      </c>
      <c r="J40" s="75"/>
      <c r="K40" s="75"/>
    </row>
    <row r="41" spans="1:11" x14ac:dyDescent="0.25">
      <c r="A41" s="237"/>
      <c r="B41" s="90">
        <v>2.2000000000000002</v>
      </c>
      <c r="C41" s="90" t="s">
        <v>157</v>
      </c>
      <c r="D41" s="90" t="s">
        <v>40</v>
      </c>
      <c r="E41" s="232"/>
      <c r="F41" s="232"/>
      <c r="G41" s="101"/>
      <c r="H41" s="79">
        <v>20</v>
      </c>
      <c r="I41" s="90" t="s">
        <v>63</v>
      </c>
      <c r="J41" s="75"/>
      <c r="K41" s="75"/>
    </row>
    <row r="42" spans="1:11" x14ac:dyDescent="0.25">
      <c r="A42" s="237"/>
      <c r="B42" s="90">
        <v>2.2999999999999998</v>
      </c>
      <c r="C42" s="90" t="s">
        <v>64</v>
      </c>
      <c r="D42" s="90" t="s">
        <v>59</v>
      </c>
      <c r="E42" s="101"/>
      <c r="F42" s="101"/>
      <c r="G42" s="101"/>
      <c r="H42" s="79">
        <f>'BRE prompts'!B5</f>
        <v>140</v>
      </c>
      <c r="I42" s="90" t="s">
        <v>65</v>
      </c>
      <c r="J42" s="75"/>
      <c r="K42" s="75"/>
    </row>
    <row r="43" spans="1:11" x14ac:dyDescent="0.25">
      <c r="A43" s="237"/>
      <c r="B43" s="90">
        <v>2.4</v>
      </c>
      <c r="C43" s="90" t="s">
        <v>66</v>
      </c>
      <c r="D43" s="90" t="s">
        <v>70</v>
      </c>
      <c r="E43" s="101"/>
      <c r="F43" s="101"/>
      <c r="G43" s="101"/>
      <c r="H43" s="87">
        <f>H38-D24</f>
        <v>0.24</v>
      </c>
      <c r="I43" s="90" t="s">
        <v>67</v>
      </c>
      <c r="J43" s="75"/>
      <c r="K43" s="75"/>
    </row>
    <row r="44" spans="1:11" x14ac:dyDescent="0.25">
      <c r="A44" s="237"/>
      <c r="B44" s="90">
        <v>2.5</v>
      </c>
      <c r="C44" s="90" t="s">
        <v>68</v>
      </c>
      <c r="D44" s="90" t="s">
        <v>70</v>
      </c>
      <c r="E44" s="101"/>
      <c r="F44" s="101"/>
      <c r="G44" s="101"/>
      <c r="H44" s="87">
        <f>D23+H43*D25</f>
        <v>0.25908506493506489</v>
      </c>
      <c r="I44" s="90" t="s">
        <v>67</v>
      </c>
      <c r="J44" s="75"/>
      <c r="K44" s="75"/>
    </row>
    <row r="45" spans="1:11" x14ac:dyDescent="0.25">
      <c r="A45" s="237"/>
      <c r="B45" s="90">
        <v>2.6</v>
      </c>
      <c r="C45" s="90" t="s">
        <v>69</v>
      </c>
      <c r="D45" s="90" t="s">
        <v>70</v>
      </c>
      <c r="E45" s="101"/>
      <c r="F45" s="101"/>
      <c r="G45" s="101"/>
      <c r="H45" s="87">
        <f>H44+D16</f>
        <v>0.53908506493506492</v>
      </c>
      <c r="I45" s="90" t="s">
        <v>67</v>
      </c>
      <c r="J45" s="75"/>
      <c r="K45" s="75"/>
    </row>
    <row r="46" spans="1:11" x14ac:dyDescent="0.25">
      <c r="A46" s="237">
        <v>3</v>
      </c>
      <c r="B46" s="90">
        <v>3.1</v>
      </c>
      <c r="C46" s="90" t="s">
        <v>72</v>
      </c>
      <c r="D46" s="90" t="s">
        <v>73</v>
      </c>
      <c r="E46" s="101"/>
      <c r="F46" s="101"/>
      <c r="G46" s="101"/>
      <c r="H46" s="84">
        <f>H42/H45</f>
        <v>259.69927402248402</v>
      </c>
      <c r="I46" s="101"/>
      <c r="J46" s="75"/>
      <c r="K46" s="75"/>
    </row>
    <row r="47" spans="1:11" x14ac:dyDescent="0.25">
      <c r="A47" s="237"/>
      <c r="B47" s="90">
        <v>3.2</v>
      </c>
      <c r="C47" s="90" t="s">
        <v>74</v>
      </c>
      <c r="D47" s="90"/>
      <c r="E47" s="101"/>
      <c r="F47" s="101"/>
      <c r="G47" s="101"/>
      <c r="H47" s="81" t="s">
        <v>24</v>
      </c>
      <c r="I47" s="101"/>
      <c r="J47" s="75"/>
      <c r="K47" s="75"/>
    </row>
    <row r="48" spans="1:11" x14ac:dyDescent="0.25">
      <c r="A48" s="237"/>
      <c r="B48" s="90">
        <v>3.3</v>
      </c>
      <c r="C48" s="90" t="s">
        <v>75</v>
      </c>
      <c r="D48" s="90"/>
      <c r="E48" s="101"/>
      <c r="F48" s="101"/>
      <c r="G48" s="101"/>
      <c r="H48" s="81" t="s">
        <v>24</v>
      </c>
      <c r="I48" s="101"/>
      <c r="J48" s="75"/>
      <c r="K48" s="75"/>
    </row>
    <row r="49" spans="1:11" x14ac:dyDescent="0.25">
      <c r="A49" s="237"/>
      <c r="B49" s="90"/>
      <c r="C49" s="90"/>
      <c r="D49" s="90"/>
      <c r="E49" s="101"/>
      <c r="F49" s="101"/>
      <c r="G49" s="90" t="s">
        <v>60</v>
      </c>
      <c r="H49" s="84">
        <f>H46</f>
        <v>259.69927402248402</v>
      </c>
      <c r="I49" s="90" t="s">
        <v>67</v>
      </c>
      <c r="J49" s="75"/>
      <c r="K49" s="75"/>
    </row>
    <row r="50" spans="1:11" x14ac:dyDescent="0.25">
      <c r="A50" s="237"/>
      <c r="B50" s="90">
        <v>3.4</v>
      </c>
      <c r="C50" s="90" t="s">
        <v>76</v>
      </c>
      <c r="D50" s="90"/>
      <c r="E50" s="101"/>
      <c r="F50" s="101"/>
      <c r="G50" s="101"/>
      <c r="H50" s="87">
        <f>H45</f>
        <v>0.53908506493506492</v>
      </c>
      <c r="I50" s="101"/>
      <c r="J50" s="75"/>
      <c r="K50" s="75"/>
    </row>
    <row r="51" spans="1:11" x14ac:dyDescent="0.25">
      <c r="A51" s="237">
        <v>4</v>
      </c>
      <c r="B51" s="90">
        <v>4.0999999999999996</v>
      </c>
      <c r="C51" s="90" t="s">
        <v>77</v>
      </c>
      <c r="D51" s="90" t="s">
        <v>70</v>
      </c>
      <c r="E51" s="101"/>
      <c r="F51" s="101"/>
      <c r="G51" s="101"/>
      <c r="H51" s="79">
        <v>2500</v>
      </c>
      <c r="I51" s="90" t="s">
        <v>65</v>
      </c>
      <c r="J51" s="75"/>
      <c r="K51" s="75"/>
    </row>
    <row r="52" spans="1:11" x14ac:dyDescent="0.25">
      <c r="A52" s="237"/>
      <c r="B52" s="90">
        <v>4.2</v>
      </c>
      <c r="C52" s="90" t="s">
        <v>78</v>
      </c>
      <c r="D52" s="90"/>
      <c r="E52" s="101"/>
      <c r="F52" s="101"/>
      <c r="G52" s="101"/>
      <c r="H52" s="84">
        <f>H51-H49-H42</f>
        <v>2100.3007259775159</v>
      </c>
      <c r="I52" s="90" t="s">
        <v>65</v>
      </c>
      <c r="J52" s="75"/>
      <c r="K52" s="75"/>
    </row>
    <row r="53" spans="1:11" x14ac:dyDescent="0.25">
      <c r="A53" s="90">
        <v>5</v>
      </c>
      <c r="B53" s="90">
        <v>5.0999999999999996</v>
      </c>
      <c r="C53" s="90" t="s">
        <v>79</v>
      </c>
      <c r="D53" s="90" t="s">
        <v>40</v>
      </c>
      <c r="E53" s="101"/>
      <c r="F53" s="101"/>
      <c r="G53" s="101"/>
      <c r="H53" s="86">
        <f>D10</f>
        <v>0.34399999999999997</v>
      </c>
      <c r="I53" s="101"/>
      <c r="J53" s="75"/>
      <c r="K53" s="75"/>
    </row>
    <row r="54" spans="1:11" x14ac:dyDescent="0.25">
      <c r="A54" s="90"/>
      <c r="B54" s="90">
        <v>5.2</v>
      </c>
      <c r="C54" s="90" t="s">
        <v>198</v>
      </c>
      <c r="D54" s="90" t="s">
        <v>80</v>
      </c>
      <c r="E54" s="79"/>
      <c r="F54" s="90" t="s">
        <v>81</v>
      </c>
      <c r="G54" s="90" t="s">
        <v>82</v>
      </c>
      <c r="H54" s="79"/>
      <c r="I54" s="90" t="s">
        <v>81</v>
      </c>
      <c r="J54" s="75"/>
      <c r="K54" s="75"/>
    </row>
    <row r="55" spans="1:11" x14ac:dyDescent="0.25">
      <c r="A55" s="90"/>
      <c r="B55" s="90"/>
      <c r="C55" s="90"/>
      <c r="D55" s="90"/>
      <c r="E55" s="101"/>
      <c r="F55" s="101"/>
      <c r="G55" s="90" t="s">
        <v>60</v>
      </c>
      <c r="H55" s="80">
        <v>0.4</v>
      </c>
      <c r="I55" s="90" t="s">
        <v>81</v>
      </c>
      <c r="J55" s="75"/>
      <c r="K55" s="75"/>
    </row>
    <row r="56" spans="1:11" x14ac:dyDescent="0.25">
      <c r="A56" s="90"/>
      <c r="B56" s="90">
        <v>5.3</v>
      </c>
      <c r="C56" s="90" t="s">
        <v>83</v>
      </c>
      <c r="D56" s="90" t="s">
        <v>85</v>
      </c>
      <c r="E56" s="101"/>
      <c r="F56" s="101"/>
      <c r="G56" s="101"/>
      <c r="H56" s="84">
        <f>H55*H52</f>
        <v>840.12029039100639</v>
      </c>
      <c r="I56" s="90" t="s">
        <v>65</v>
      </c>
      <c r="J56" s="75"/>
      <c r="K56" s="75"/>
    </row>
    <row r="57" spans="1:11" x14ac:dyDescent="0.25">
      <c r="A57" s="90"/>
      <c r="B57" s="90">
        <v>5.4</v>
      </c>
      <c r="C57" s="90" t="s">
        <v>84</v>
      </c>
      <c r="D57" s="90" t="s">
        <v>85</v>
      </c>
      <c r="E57" s="103"/>
      <c r="F57" s="103"/>
      <c r="G57" s="103"/>
      <c r="H57" s="85">
        <f>H52-H56</f>
        <v>1260.1804355865095</v>
      </c>
      <c r="I57" s="95" t="s">
        <v>65</v>
      </c>
      <c r="J57" s="75"/>
      <c r="K57" s="75"/>
    </row>
    <row r="58" spans="1:11" x14ac:dyDescent="0.25">
      <c r="A58" s="75"/>
      <c r="B58" s="75"/>
      <c r="C58" s="75"/>
      <c r="D58" s="75"/>
      <c r="E58" s="237" t="s">
        <v>86</v>
      </c>
      <c r="F58" s="237"/>
      <c r="G58" s="237"/>
      <c r="H58" s="237"/>
      <c r="I58" s="230"/>
      <c r="J58" s="96"/>
      <c r="K58" s="97"/>
    </row>
    <row r="59" spans="1:11" x14ac:dyDescent="0.25">
      <c r="A59" s="75"/>
      <c r="B59" s="75"/>
      <c r="C59" s="75"/>
      <c r="D59" s="75"/>
      <c r="E59" s="240" t="s">
        <v>91</v>
      </c>
      <c r="F59" s="240" t="s">
        <v>92</v>
      </c>
      <c r="G59" s="240" t="s">
        <v>93</v>
      </c>
      <c r="H59" s="240" t="s">
        <v>94</v>
      </c>
      <c r="I59" s="240" t="s">
        <v>95</v>
      </c>
      <c r="J59" s="241"/>
      <c r="K59" s="241"/>
    </row>
    <row r="60" spans="1:11" x14ac:dyDescent="0.25">
      <c r="A60" s="75"/>
      <c r="B60" s="75"/>
      <c r="C60" s="75"/>
      <c r="D60" s="75"/>
      <c r="E60" s="240"/>
      <c r="F60" s="240"/>
      <c r="G60" s="240"/>
      <c r="H60" s="240"/>
      <c r="I60" s="98" t="s">
        <v>89</v>
      </c>
      <c r="J60" s="98" t="s">
        <v>90</v>
      </c>
      <c r="K60" s="98" t="s">
        <v>88</v>
      </c>
    </row>
    <row r="61" spans="1:11" x14ac:dyDescent="0.25">
      <c r="A61" s="75"/>
      <c r="B61" s="75"/>
      <c r="C61" s="95">
        <v>1</v>
      </c>
      <c r="D61" s="95" t="s">
        <v>96</v>
      </c>
      <c r="E61" s="84">
        <f>H49*(100%-D21)</f>
        <v>233.72934662023562</v>
      </c>
      <c r="F61" s="84">
        <f>D21*H46</f>
        <v>25.969927402248402</v>
      </c>
      <c r="G61" s="84">
        <f>H38*H49</f>
        <v>155.81956441349041</v>
      </c>
      <c r="H61" s="84">
        <f>H56</f>
        <v>840.12029039100639</v>
      </c>
      <c r="I61" s="84">
        <f>20%*H57</f>
        <v>252.03608711730192</v>
      </c>
      <c r="J61" s="84">
        <f>18.46%*H57</f>
        <v>232.62930840926967</v>
      </c>
      <c r="K61" s="84">
        <f>H57-J61-I61</f>
        <v>775.51504005993786</v>
      </c>
    </row>
    <row r="62" spans="1:11" x14ac:dyDescent="0.25">
      <c r="A62" s="230" t="s">
        <v>97</v>
      </c>
      <c r="B62" s="231"/>
      <c r="C62" s="79">
        <v>3.3750000000000002E-2</v>
      </c>
      <c r="D62" s="90" t="s">
        <v>96</v>
      </c>
      <c r="E62" s="99">
        <f>$C$62*E61</f>
        <v>7.8883654484329524</v>
      </c>
      <c r="F62" s="99">
        <f t="shared" ref="F62:K62" si="0">$C$62*F61</f>
        <v>0.8764850498258836</v>
      </c>
      <c r="G62" s="99">
        <f t="shared" si="0"/>
        <v>5.2589102989553016</v>
      </c>
      <c r="H62" s="99">
        <f t="shared" si="0"/>
        <v>28.354059800696469</v>
      </c>
      <c r="I62" s="99">
        <f t="shared" si="0"/>
        <v>8.5062179402089395</v>
      </c>
      <c r="J62" s="99">
        <f t="shared" si="0"/>
        <v>7.8512391588128523</v>
      </c>
      <c r="K62" s="99">
        <f t="shared" si="0"/>
        <v>26.173632602022906</v>
      </c>
    </row>
    <row r="63" spans="1:11" x14ac:dyDescent="0.25">
      <c r="D63" s="41" t="s">
        <v>120</v>
      </c>
      <c r="E63" s="106">
        <f>E61/($E$61+$F$61)</f>
        <v>0.9</v>
      </c>
      <c r="F63" s="106">
        <f t="shared" ref="F63:K63" si="1">F61/($E$61+$F$61)</f>
        <v>0.1</v>
      </c>
      <c r="G63" s="106">
        <f t="shared" si="1"/>
        <v>0.6</v>
      </c>
      <c r="H63" s="106">
        <f t="shared" si="1"/>
        <v>3.2349735807050086</v>
      </c>
      <c r="I63" s="106">
        <f t="shared" si="1"/>
        <v>0.97049207421150263</v>
      </c>
      <c r="J63" s="106">
        <f t="shared" si="1"/>
        <v>0.89576418449721695</v>
      </c>
      <c r="K63" s="106">
        <f t="shared" si="1"/>
        <v>2.9862041123487932</v>
      </c>
    </row>
  </sheetData>
  <mergeCells count="23">
    <mergeCell ref="E39:F39"/>
    <mergeCell ref="E58:I58"/>
    <mergeCell ref="I59:K59"/>
    <mergeCell ref="E59:E60"/>
    <mergeCell ref="F59:F60"/>
    <mergeCell ref="G59:G60"/>
    <mergeCell ref="H59:H60"/>
    <mergeCell ref="A62:B62"/>
    <mergeCell ref="E32:G32"/>
    <mergeCell ref="D34:D35"/>
    <mergeCell ref="B34:B35"/>
    <mergeCell ref="D27:I27"/>
    <mergeCell ref="E38:F38"/>
    <mergeCell ref="G38:G39"/>
    <mergeCell ref="H38:H39"/>
    <mergeCell ref="I38:I39"/>
    <mergeCell ref="A28:A39"/>
    <mergeCell ref="E41:F41"/>
    <mergeCell ref="A40:A45"/>
    <mergeCell ref="A46:A50"/>
    <mergeCell ref="A51:A52"/>
    <mergeCell ref="C29:C30"/>
    <mergeCell ref="B29:B30"/>
  </mergeCells>
  <phoneticPr fontId="3" type="noConversion"/>
  <dataValidations count="8">
    <dataValidation type="list" allowBlank="1" showInputMessage="1" showErrorMessage="1" sqref="D2" xr:uid="{00000000-0002-0000-0700-000000000000}">
      <formula1>"C10/15, C15/20, C20/25, C30/37, C40/50, C50/60"</formula1>
    </dataValidation>
    <dataValidation type="list" allowBlank="1" showInputMessage="1" showErrorMessage="1" sqref="D3" xr:uid="{00000000-0002-0000-0700-000001000000}">
      <formula1>"0-10mm,10-30mm,30-60mm,60-180mm"</formula1>
    </dataValidation>
    <dataValidation type="list" allowBlank="1" showInputMessage="1" showErrorMessage="1" sqref="D5 H34:H35" xr:uid="{00000000-0002-0000-0700-000002000000}">
      <formula1>"Crushed, Uncrushed"</formula1>
    </dataValidation>
    <dataValidation type="list" allowBlank="1" showInputMessage="1" showErrorMessage="1" sqref="H33" xr:uid="{00000000-0002-0000-0700-000003000000}">
      <formula1>"42.5, 52.5"</formula1>
    </dataValidation>
    <dataValidation type="list" allowBlank="1" showInputMessage="1" showErrorMessage="1" sqref="H40" xr:uid="{00000000-0002-0000-0700-000004000000}">
      <formula1>"0-10, 10-30, 30-60, 60-180"</formula1>
    </dataValidation>
    <dataValidation type="list" allowBlank="1" showInputMessage="1" showErrorMessage="1" sqref="D6" xr:uid="{049F1D78-B390-4541-AC5D-96482DE180FD}">
      <formula1>"10mm,20mm,40mm"</formula1>
    </dataValidation>
    <dataValidation type="list" allowBlank="1" showInputMessage="1" showErrorMessage="1" sqref="E36" xr:uid="{05967584-7767-4F50-8735-3523A28CDDB2}">
      <formula1>"3,7,28,91"</formula1>
    </dataValidation>
    <dataValidation type="list" allowBlank="1" showInputMessage="1" showErrorMessage="1" sqref="F2" xr:uid="{88661077-208B-4DA5-888D-9FF931EC9351}">
      <formula1>"&lt;20,&gt;=20"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W40"/>
  <sheetViews>
    <sheetView workbookViewId="0">
      <selection activeCell="M49" sqref="M49"/>
    </sheetView>
  </sheetViews>
  <sheetFormatPr defaultRowHeight="15.75" x14ac:dyDescent="0.25"/>
  <cols>
    <col min="1" max="1" width="9.140625" style="41"/>
    <col min="2" max="2" width="19.28515625" style="41" customWidth="1"/>
    <col min="3" max="3" width="16.42578125" style="41" customWidth="1"/>
    <col min="4" max="13" width="9.140625" style="41"/>
    <col min="14" max="14" width="16" style="41" customWidth="1"/>
    <col min="15" max="15" width="11.140625" style="41" bestFit="1" customWidth="1"/>
    <col min="16" max="16" width="10.7109375" style="41" customWidth="1"/>
    <col min="17" max="17" width="7.140625" style="41" customWidth="1"/>
    <col min="18" max="18" width="7.7109375" style="41" customWidth="1"/>
    <col min="19" max="19" width="7.42578125" style="41" customWidth="1"/>
    <col min="20" max="16384" width="9.140625" style="41"/>
  </cols>
  <sheetData>
    <row r="1" spans="1:20" ht="16.5" thickBot="1" x14ac:dyDescent="0.3"/>
    <row r="2" spans="1:20" ht="16.5" thickBot="1" x14ac:dyDescent="0.3">
      <c r="A2" s="112"/>
      <c r="B2" s="113"/>
      <c r="C2" s="113"/>
      <c r="D2" s="113"/>
      <c r="E2" s="113"/>
      <c r="F2" s="113"/>
      <c r="G2" s="113"/>
      <c r="H2" s="113"/>
      <c r="I2" s="113"/>
      <c r="J2" s="113"/>
      <c r="K2" s="114"/>
      <c r="M2" s="112"/>
      <c r="N2" s="113"/>
      <c r="O2" s="113"/>
      <c r="P2" s="113"/>
      <c r="Q2" s="113"/>
      <c r="R2" s="113"/>
      <c r="S2" s="113"/>
      <c r="T2" s="114"/>
    </row>
    <row r="3" spans="1:20" ht="17.25" x14ac:dyDescent="0.25">
      <c r="A3" s="115"/>
      <c r="B3" s="107" t="s">
        <v>123</v>
      </c>
      <c r="C3" s="108">
        <v>0</v>
      </c>
      <c r="D3" s="108">
        <v>10</v>
      </c>
      <c r="E3" s="108">
        <f t="shared" ref="E3:J3" si="0">10+D3</f>
        <v>20</v>
      </c>
      <c r="F3" s="108">
        <f t="shared" si="0"/>
        <v>30</v>
      </c>
      <c r="G3" s="108">
        <f t="shared" si="0"/>
        <v>40</v>
      </c>
      <c r="H3" s="108">
        <f t="shared" si="0"/>
        <v>50</v>
      </c>
      <c r="I3" s="108">
        <f t="shared" si="0"/>
        <v>60</v>
      </c>
      <c r="J3" s="109">
        <f t="shared" si="0"/>
        <v>70</v>
      </c>
      <c r="K3" s="116"/>
      <c r="M3" s="115"/>
      <c r="N3" s="129" t="s">
        <v>26</v>
      </c>
      <c r="O3" s="242"/>
      <c r="P3" s="130" t="s">
        <v>131</v>
      </c>
      <c r="Q3" s="131" t="s">
        <v>135</v>
      </c>
      <c r="R3" s="130" t="s">
        <v>132</v>
      </c>
      <c r="S3" s="132" t="s">
        <v>133</v>
      </c>
      <c r="T3" s="116"/>
    </row>
    <row r="4" spans="1:20" ht="31.5" x14ac:dyDescent="0.25">
      <c r="A4" s="115"/>
      <c r="B4" s="110" t="s">
        <v>121</v>
      </c>
      <c r="C4" s="137">
        <v>0</v>
      </c>
      <c r="D4" s="137">
        <v>4</v>
      </c>
      <c r="E4" s="137">
        <v>8</v>
      </c>
      <c r="F4" s="137">
        <v>8</v>
      </c>
      <c r="G4" s="137">
        <v>8</v>
      </c>
      <c r="H4" s="137">
        <v>8</v>
      </c>
      <c r="I4" s="137">
        <v>8</v>
      </c>
      <c r="J4" s="138">
        <v>8</v>
      </c>
      <c r="K4" s="116"/>
      <c r="M4" s="115"/>
      <c r="N4" s="133" t="s">
        <v>129</v>
      </c>
      <c r="O4" s="243"/>
      <c r="P4" s="124" t="s">
        <v>134</v>
      </c>
      <c r="Q4" s="128" t="s">
        <v>136</v>
      </c>
      <c r="R4" s="128" t="s">
        <v>137</v>
      </c>
      <c r="S4" s="134" t="s">
        <v>138</v>
      </c>
      <c r="T4" s="116"/>
    </row>
    <row r="5" spans="1:20" ht="48" thickBot="1" x14ac:dyDescent="0.3">
      <c r="A5" s="115"/>
      <c r="B5" s="111" t="s">
        <v>122</v>
      </c>
      <c r="C5" s="139">
        <v>0</v>
      </c>
      <c r="D5" s="139">
        <v>2</v>
      </c>
      <c r="E5" s="139">
        <v>4</v>
      </c>
      <c r="F5" s="139">
        <v>4</v>
      </c>
      <c r="G5" s="139">
        <v>4</v>
      </c>
      <c r="H5" s="139">
        <v>4</v>
      </c>
      <c r="I5" s="139">
        <v>4</v>
      </c>
      <c r="J5" s="140">
        <v>4</v>
      </c>
      <c r="K5" s="116"/>
      <c r="M5" s="115"/>
      <c r="N5" s="135" t="s">
        <v>130</v>
      </c>
      <c r="O5" s="125" t="s">
        <v>139</v>
      </c>
      <c r="P5" s="244" t="s">
        <v>187</v>
      </c>
      <c r="Q5" s="244"/>
      <c r="R5" s="244"/>
      <c r="S5" s="245"/>
      <c r="T5" s="116"/>
    </row>
    <row r="6" spans="1:20" x14ac:dyDescent="0.25">
      <c r="A6" s="115"/>
      <c r="B6" s="68"/>
      <c r="C6" s="68"/>
      <c r="D6" s="68"/>
      <c r="E6" s="68"/>
      <c r="F6" s="68"/>
      <c r="G6" s="68"/>
      <c r="H6" s="68"/>
      <c r="I6" s="68"/>
      <c r="J6" s="68"/>
      <c r="K6" s="116"/>
      <c r="M6" s="115"/>
      <c r="N6" s="250">
        <v>10</v>
      </c>
      <c r="O6" s="126" t="s">
        <v>127</v>
      </c>
      <c r="P6" s="141">
        <v>150</v>
      </c>
      <c r="Q6" s="141">
        <v>180</v>
      </c>
      <c r="R6" s="141">
        <v>205</v>
      </c>
      <c r="S6" s="142">
        <v>225</v>
      </c>
      <c r="T6" s="116"/>
    </row>
    <row r="7" spans="1:20" x14ac:dyDescent="0.25">
      <c r="A7" s="115"/>
      <c r="B7" s="68"/>
      <c r="C7" s="68"/>
      <c r="D7" s="68"/>
      <c r="E7" s="68"/>
      <c r="F7" s="68"/>
      <c r="G7" s="68"/>
      <c r="H7" s="68"/>
      <c r="I7" s="68"/>
      <c r="J7" s="68"/>
      <c r="K7" s="116"/>
      <c r="M7" s="115"/>
      <c r="N7" s="251"/>
      <c r="O7" s="127" t="s">
        <v>116</v>
      </c>
      <c r="P7" s="143">
        <v>180</v>
      </c>
      <c r="Q7" s="143">
        <v>205</v>
      </c>
      <c r="R7" s="143">
        <v>230</v>
      </c>
      <c r="S7" s="144">
        <v>250</v>
      </c>
      <c r="T7" s="116"/>
    </row>
    <row r="8" spans="1:20" x14ac:dyDescent="0.25">
      <c r="A8" s="115"/>
      <c r="B8" s="68"/>
      <c r="C8" s="68"/>
      <c r="D8" s="68"/>
      <c r="E8" s="68"/>
      <c r="F8" s="68"/>
      <c r="G8" s="68"/>
      <c r="H8" s="68"/>
      <c r="I8" s="68"/>
      <c r="J8" s="68"/>
      <c r="K8" s="116"/>
      <c r="M8" s="115"/>
      <c r="N8" s="250">
        <v>20</v>
      </c>
      <c r="O8" s="126" t="s">
        <v>127</v>
      </c>
      <c r="P8" s="141">
        <v>135</v>
      </c>
      <c r="Q8" s="141">
        <v>160</v>
      </c>
      <c r="R8" s="141">
        <v>180</v>
      </c>
      <c r="S8" s="142">
        <v>195</v>
      </c>
      <c r="T8" s="116"/>
    </row>
    <row r="9" spans="1:20" x14ac:dyDescent="0.25">
      <c r="A9" s="115"/>
      <c r="B9" s="68"/>
      <c r="C9" s="68"/>
      <c r="D9" s="68"/>
      <c r="E9" s="68"/>
      <c r="F9" s="68"/>
      <c r="G9" s="68"/>
      <c r="H9" s="68"/>
      <c r="I9" s="68"/>
      <c r="J9" s="68"/>
      <c r="K9" s="116"/>
      <c r="M9" s="115"/>
      <c r="N9" s="251"/>
      <c r="O9" s="127" t="s">
        <v>116</v>
      </c>
      <c r="P9" s="143">
        <v>170</v>
      </c>
      <c r="Q9" s="143">
        <v>190</v>
      </c>
      <c r="R9" s="143">
        <v>210</v>
      </c>
      <c r="S9" s="144">
        <v>225</v>
      </c>
      <c r="T9" s="116"/>
    </row>
    <row r="10" spans="1:20" x14ac:dyDescent="0.25">
      <c r="A10" s="115"/>
      <c r="B10" s="68"/>
      <c r="C10" s="68"/>
      <c r="D10" s="68"/>
      <c r="E10" s="68"/>
      <c r="F10" s="68"/>
      <c r="G10" s="68"/>
      <c r="H10" s="68"/>
      <c r="I10" s="68"/>
      <c r="J10" s="68"/>
      <c r="K10" s="116"/>
      <c r="M10" s="115"/>
      <c r="N10" s="252">
        <v>40</v>
      </c>
      <c r="O10" s="124" t="s">
        <v>127</v>
      </c>
      <c r="P10" s="145">
        <v>115</v>
      </c>
      <c r="Q10" s="145">
        <v>140</v>
      </c>
      <c r="R10" s="145">
        <v>160</v>
      </c>
      <c r="S10" s="146">
        <v>175</v>
      </c>
      <c r="T10" s="116"/>
    </row>
    <row r="11" spans="1:20" ht="16.5" thickBot="1" x14ac:dyDescent="0.3">
      <c r="A11" s="115"/>
      <c r="B11" s="68"/>
      <c r="C11" s="68"/>
      <c r="D11" s="68"/>
      <c r="E11" s="68"/>
      <c r="F11" s="68"/>
      <c r="G11" s="68"/>
      <c r="H11" s="68"/>
      <c r="I11" s="68"/>
      <c r="J11" s="68"/>
      <c r="K11" s="116"/>
      <c r="M11" s="115"/>
      <c r="N11" s="253"/>
      <c r="O11" s="136" t="s">
        <v>116</v>
      </c>
      <c r="P11" s="147">
        <v>155</v>
      </c>
      <c r="Q11" s="147">
        <v>175</v>
      </c>
      <c r="R11" s="147">
        <v>190</v>
      </c>
      <c r="S11" s="148">
        <v>205</v>
      </c>
      <c r="T11" s="116"/>
    </row>
    <row r="12" spans="1:20" x14ac:dyDescent="0.25">
      <c r="A12" s="115"/>
      <c r="B12" s="68"/>
      <c r="C12" s="68"/>
      <c r="D12" s="68"/>
      <c r="E12" s="68"/>
      <c r="F12" s="68"/>
      <c r="G12" s="68"/>
      <c r="H12" s="68"/>
      <c r="I12" s="68"/>
      <c r="J12" s="68"/>
      <c r="K12" s="116"/>
      <c r="M12" s="115"/>
      <c r="N12" s="68"/>
      <c r="O12" s="68"/>
      <c r="P12" s="68"/>
      <c r="Q12" s="68"/>
      <c r="R12" s="68"/>
      <c r="S12" s="68"/>
      <c r="T12" s="116"/>
    </row>
    <row r="13" spans="1:20" x14ac:dyDescent="0.25">
      <c r="A13" s="115"/>
      <c r="B13" s="68"/>
      <c r="C13" s="68"/>
      <c r="D13" s="68"/>
      <c r="E13" s="68"/>
      <c r="F13" s="68"/>
      <c r="G13" s="68"/>
      <c r="H13" s="68"/>
      <c r="I13" s="68"/>
      <c r="J13" s="68"/>
      <c r="K13" s="116"/>
      <c r="M13" s="115"/>
      <c r="N13" s="249" t="s">
        <v>141</v>
      </c>
      <c r="O13" s="249"/>
      <c r="P13" s="249"/>
      <c r="Q13" s="249"/>
      <c r="R13" s="249"/>
      <c r="S13" s="249"/>
      <c r="T13" s="116"/>
    </row>
    <row r="14" spans="1:20" ht="16.5" thickBot="1" x14ac:dyDescent="0.3">
      <c r="A14" s="115"/>
      <c r="B14" s="68"/>
      <c r="C14" s="68"/>
      <c r="D14" s="68"/>
      <c r="E14" s="68"/>
      <c r="F14" s="68"/>
      <c r="G14" s="68"/>
      <c r="H14" s="68"/>
      <c r="I14" s="68"/>
      <c r="J14" s="68"/>
      <c r="K14" s="116"/>
      <c r="M14" s="117"/>
      <c r="N14" s="254"/>
      <c r="O14" s="254"/>
      <c r="P14" s="254"/>
      <c r="Q14" s="254"/>
      <c r="R14" s="254"/>
      <c r="S14" s="254"/>
      <c r="T14" s="119"/>
    </row>
    <row r="15" spans="1:20" x14ac:dyDescent="0.25">
      <c r="A15" s="115"/>
      <c r="B15" s="68"/>
      <c r="C15" s="68"/>
      <c r="D15" s="68"/>
      <c r="E15" s="68"/>
      <c r="F15" s="68"/>
      <c r="G15" s="68"/>
      <c r="H15" s="68"/>
      <c r="I15" s="68"/>
      <c r="J15" s="68"/>
      <c r="K15" s="116"/>
    </row>
    <row r="16" spans="1:20" x14ac:dyDescent="0.25">
      <c r="A16" s="115"/>
      <c r="B16" s="68"/>
      <c r="C16" s="68"/>
      <c r="D16" s="68"/>
      <c r="E16" s="68"/>
      <c r="F16" s="68"/>
      <c r="G16" s="68"/>
      <c r="H16" s="68"/>
      <c r="I16" s="68"/>
      <c r="J16" s="68"/>
      <c r="K16" s="116"/>
    </row>
    <row r="17" spans="1:23" x14ac:dyDescent="0.25">
      <c r="A17" s="115"/>
      <c r="B17" s="68"/>
      <c r="C17" s="68"/>
      <c r="D17" s="68"/>
      <c r="E17" s="68"/>
      <c r="F17" s="68"/>
      <c r="G17" s="68"/>
      <c r="H17" s="68"/>
      <c r="I17" s="68"/>
      <c r="J17" s="68"/>
      <c r="K17" s="116"/>
      <c r="P17" s="41" t="s">
        <v>25</v>
      </c>
      <c r="Q17" s="41">
        <v>0.3</v>
      </c>
      <c r="R17" s="41">
        <v>0.4</v>
      </c>
      <c r="S17" s="41">
        <v>0.5</v>
      </c>
      <c r="T17" s="41">
        <v>0.6</v>
      </c>
      <c r="U17" s="41">
        <v>0.7</v>
      </c>
      <c r="V17" s="41">
        <v>0.8</v>
      </c>
      <c r="W17" s="41">
        <v>0.9</v>
      </c>
    </row>
    <row r="18" spans="1:23" x14ac:dyDescent="0.25">
      <c r="A18" s="115"/>
      <c r="B18" s="68"/>
      <c r="C18" s="68"/>
      <c r="D18" s="68"/>
      <c r="E18" s="68"/>
      <c r="F18" s="68"/>
      <c r="G18" s="68"/>
      <c r="H18" s="68"/>
      <c r="I18" s="68"/>
      <c r="J18" s="68"/>
      <c r="K18" s="116"/>
      <c r="O18" s="197" t="s">
        <v>151</v>
      </c>
      <c r="P18" s="41" t="s">
        <v>142</v>
      </c>
      <c r="Q18" s="41">
        <v>15</v>
      </c>
      <c r="R18" s="41">
        <v>9</v>
      </c>
      <c r="S18" s="41">
        <v>5</v>
      </c>
      <c r="T18" s="41">
        <v>3</v>
      </c>
      <c r="U18" s="41">
        <v>2</v>
      </c>
      <c r="V18" s="41">
        <v>1.5</v>
      </c>
      <c r="W18" s="41">
        <v>1.5</v>
      </c>
    </row>
    <row r="19" spans="1:23" x14ac:dyDescent="0.25">
      <c r="A19" s="115"/>
      <c r="B19" s="68"/>
      <c r="C19" s="68"/>
      <c r="D19" s="68"/>
      <c r="E19" s="68"/>
      <c r="F19" s="68"/>
      <c r="G19" s="68"/>
      <c r="H19" s="68"/>
      <c r="I19" s="68"/>
      <c r="J19" s="68"/>
      <c r="K19" s="116"/>
      <c r="O19" s="197"/>
      <c r="P19" s="41" t="s">
        <v>143</v>
      </c>
      <c r="Q19" s="41">
        <v>25</v>
      </c>
      <c r="R19" s="41">
        <v>17</v>
      </c>
      <c r="S19" s="41">
        <v>10</v>
      </c>
      <c r="T19" s="41">
        <v>7</v>
      </c>
      <c r="U19" s="41">
        <v>4.5</v>
      </c>
      <c r="V19" s="41">
        <v>3</v>
      </c>
      <c r="W19" s="41">
        <v>2.5</v>
      </c>
    </row>
    <row r="20" spans="1:23" x14ac:dyDescent="0.25">
      <c r="A20" s="115"/>
      <c r="B20" s="68"/>
      <c r="C20" s="68"/>
      <c r="D20" s="68"/>
      <c r="E20" s="68"/>
      <c r="F20" s="68"/>
      <c r="G20" s="68"/>
      <c r="H20" s="68"/>
      <c r="I20" s="68"/>
      <c r="J20" s="68"/>
      <c r="K20" s="116"/>
      <c r="O20" s="197"/>
      <c r="P20" s="41" t="s">
        <v>144</v>
      </c>
      <c r="Q20" s="41">
        <v>37.5</v>
      </c>
      <c r="R20" s="41">
        <v>22.5</v>
      </c>
      <c r="S20" s="41">
        <v>15</v>
      </c>
      <c r="T20" s="41">
        <v>10</v>
      </c>
      <c r="U20" s="41">
        <v>8</v>
      </c>
      <c r="V20" s="41">
        <v>5</v>
      </c>
      <c r="W20" s="41">
        <v>5</v>
      </c>
    </row>
    <row r="21" spans="1:23" x14ac:dyDescent="0.25">
      <c r="A21" s="115"/>
      <c r="B21" s="68"/>
      <c r="C21" s="68"/>
      <c r="D21" s="68"/>
      <c r="E21" s="68"/>
      <c r="F21" s="68"/>
      <c r="G21" s="68"/>
      <c r="H21" s="68"/>
      <c r="I21" s="68"/>
      <c r="J21" s="68"/>
      <c r="K21" s="116"/>
      <c r="O21" s="197"/>
      <c r="P21" s="41" t="s">
        <v>145</v>
      </c>
      <c r="Q21" s="41">
        <v>46</v>
      </c>
      <c r="R21" s="41">
        <v>31</v>
      </c>
      <c r="S21" s="41">
        <v>20</v>
      </c>
      <c r="T21" s="41">
        <v>13.5</v>
      </c>
      <c r="U21" s="41">
        <v>10</v>
      </c>
      <c r="V21" s="41">
        <v>8</v>
      </c>
      <c r="W21" s="41">
        <v>7</v>
      </c>
    </row>
    <row r="22" spans="1:23" x14ac:dyDescent="0.25">
      <c r="A22" s="115"/>
      <c r="B22" s="68"/>
      <c r="C22" s="68"/>
      <c r="D22" s="68"/>
      <c r="E22" s="68"/>
      <c r="F22" s="68"/>
      <c r="G22" s="68"/>
      <c r="H22" s="68"/>
      <c r="I22" s="68"/>
      <c r="J22" s="68"/>
      <c r="K22" s="116"/>
      <c r="O22" s="197"/>
      <c r="P22" s="41" t="s">
        <v>146</v>
      </c>
      <c r="Q22" s="41">
        <v>52</v>
      </c>
      <c r="R22" s="41">
        <v>37</v>
      </c>
      <c r="S22" s="41">
        <v>26</v>
      </c>
      <c r="T22" s="41">
        <v>18</v>
      </c>
      <c r="U22" s="41">
        <v>12</v>
      </c>
      <c r="V22" s="41">
        <v>10</v>
      </c>
      <c r="W22" s="41">
        <v>8</v>
      </c>
    </row>
    <row r="23" spans="1:23" x14ac:dyDescent="0.25">
      <c r="A23" s="115"/>
      <c r="B23" s="68"/>
      <c r="C23" s="68"/>
      <c r="D23" s="68"/>
      <c r="E23" s="68"/>
      <c r="F23" s="68"/>
      <c r="G23" s="68"/>
      <c r="H23" s="68"/>
      <c r="I23" s="68"/>
      <c r="J23" s="68"/>
      <c r="K23" s="116"/>
      <c r="O23" s="197"/>
      <c r="P23" s="41" t="s">
        <v>147</v>
      </c>
      <c r="Q23" s="41">
        <v>60</v>
      </c>
      <c r="R23" s="41">
        <v>42</v>
      </c>
      <c r="S23" s="41">
        <v>30</v>
      </c>
      <c r="T23" s="41">
        <v>22</v>
      </c>
      <c r="U23" s="41">
        <v>16</v>
      </c>
      <c r="V23" s="41">
        <v>12</v>
      </c>
      <c r="W23" s="41">
        <v>10</v>
      </c>
    </row>
    <row r="24" spans="1:23" x14ac:dyDescent="0.25">
      <c r="A24" s="115"/>
      <c r="B24" s="68"/>
      <c r="C24" s="68"/>
      <c r="D24" s="68"/>
      <c r="E24" s="68"/>
      <c r="F24" s="68"/>
      <c r="G24" s="68"/>
      <c r="H24" s="68"/>
      <c r="I24" s="68"/>
      <c r="J24" s="68"/>
      <c r="K24" s="116"/>
      <c r="O24" s="197"/>
      <c r="P24" s="41" t="s">
        <v>148</v>
      </c>
      <c r="Q24" s="41">
        <v>70</v>
      </c>
      <c r="R24" s="41">
        <v>53</v>
      </c>
      <c r="S24" s="41">
        <v>40</v>
      </c>
      <c r="T24" s="41">
        <v>30</v>
      </c>
      <c r="U24" s="41">
        <v>23</v>
      </c>
      <c r="V24" s="41">
        <v>18</v>
      </c>
      <c r="W24" s="41">
        <v>14</v>
      </c>
    </row>
    <row r="25" spans="1:23" x14ac:dyDescent="0.25">
      <c r="A25" s="115"/>
      <c r="B25" s="68"/>
      <c r="C25" s="68"/>
      <c r="D25" s="68"/>
      <c r="E25" s="68"/>
      <c r="F25" s="68"/>
      <c r="G25" s="68"/>
      <c r="H25" s="68"/>
      <c r="I25" s="68"/>
      <c r="J25" s="68"/>
      <c r="K25" s="116"/>
      <c r="O25" s="197"/>
      <c r="P25" s="41" t="s">
        <v>149</v>
      </c>
      <c r="Q25" s="41">
        <v>80</v>
      </c>
      <c r="R25" s="41">
        <v>63</v>
      </c>
      <c r="S25" s="41">
        <v>50</v>
      </c>
      <c r="T25" s="41">
        <v>38</v>
      </c>
      <c r="U25" s="41">
        <v>30</v>
      </c>
      <c r="V25" s="41">
        <v>24</v>
      </c>
      <c r="W25" s="41">
        <v>19</v>
      </c>
    </row>
    <row r="26" spans="1:23" x14ac:dyDescent="0.25">
      <c r="A26" s="115"/>
      <c r="B26" s="68"/>
      <c r="C26" s="68"/>
      <c r="D26" s="68"/>
      <c r="E26" s="68"/>
      <c r="F26" s="68"/>
      <c r="G26" s="68"/>
      <c r="H26" s="68"/>
      <c r="I26" s="68"/>
      <c r="J26" s="68"/>
      <c r="K26" s="116"/>
      <c r="O26" s="197"/>
      <c r="P26" s="41" t="s">
        <v>150</v>
      </c>
      <c r="Q26" s="41">
        <v>89</v>
      </c>
      <c r="R26" s="41">
        <v>74</v>
      </c>
      <c r="S26" s="41">
        <v>60</v>
      </c>
      <c r="T26" s="41">
        <v>48</v>
      </c>
      <c r="U26" s="41">
        <v>38</v>
      </c>
      <c r="V26" s="41">
        <v>31</v>
      </c>
      <c r="W26" s="41">
        <v>24.5</v>
      </c>
    </row>
    <row r="27" spans="1:23" x14ac:dyDescent="0.25">
      <c r="A27" s="115"/>
      <c r="B27" s="68"/>
      <c r="C27" s="68"/>
      <c r="D27" s="68"/>
      <c r="E27" s="68"/>
      <c r="F27" s="68"/>
      <c r="G27" s="68"/>
      <c r="H27" s="68"/>
      <c r="I27" s="68"/>
      <c r="J27" s="68"/>
      <c r="K27" s="116"/>
      <c r="P27" s="41" t="s">
        <v>152</v>
      </c>
      <c r="Q27" s="105">
        <v>100</v>
      </c>
      <c r="R27" s="41">
        <v>85</v>
      </c>
      <c r="S27" s="41">
        <v>70</v>
      </c>
      <c r="T27" s="41">
        <v>57</v>
      </c>
      <c r="U27" s="41">
        <v>47</v>
      </c>
      <c r="V27" s="41">
        <v>38</v>
      </c>
      <c r="W27" s="41">
        <v>31</v>
      </c>
    </row>
    <row r="28" spans="1:23" ht="16.5" thickBot="1" x14ac:dyDescent="0.3">
      <c r="A28" s="117"/>
      <c r="B28" s="255" t="s">
        <v>124</v>
      </c>
      <c r="C28" s="255"/>
      <c r="D28" s="255"/>
      <c r="E28" s="255"/>
      <c r="F28" s="255"/>
      <c r="G28" s="255"/>
      <c r="H28" s="255"/>
      <c r="I28" s="255"/>
      <c r="J28" s="118"/>
      <c r="K28" s="119"/>
    </row>
    <row r="31" spans="1:23" ht="16.5" thickBot="1" x14ac:dyDescent="0.3"/>
    <row r="32" spans="1:23" x14ac:dyDescent="0.25">
      <c r="B32" s="260" t="s">
        <v>53</v>
      </c>
      <c r="C32" s="263" t="s">
        <v>125</v>
      </c>
      <c r="D32" s="256" t="s">
        <v>126</v>
      </c>
      <c r="E32" s="256"/>
      <c r="F32" s="256"/>
      <c r="G32" s="257"/>
    </row>
    <row r="33" spans="2:7" x14ac:dyDescent="0.25">
      <c r="B33" s="261"/>
      <c r="C33" s="264"/>
      <c r="D33" s="258" t="s">
        <v>128</v>
      </c>
      <c r="E33" s="258"/>
      <c r="F33" s="258"/>
      <c r="G33" s="259"/>
    </row>
    <row r="34" spans="2:7" x14ac:dyDescent="0.25">
      <c r="B34" s="262"/>
      <c r="C34" s="265"/>
      <c r="D34" s="124">
        <v>3</v>
      </c>
      <c r="E34" s="124">
        <v>7</v>
      </c>
      <c r="F34" s="124">
        <v>28</v>
      </c>
      <c r="G34" s="152">
        <v>91</v>
      </c>
    </row>
    <row r="35" spans="2:7" x14ac:dyDescent="0.25">
      <c r="B35" s="246">
        <v>42.5</v>
      </c>
      <c r="C35" s="126" t="s">
        <v>127</v>
      </c>
      <c r="D35" s="120">
        <v>22</v>
      </c>
      <c r="E35" s="120">
        <v>30</v>
      </c>
      <c r="F35" s="120">
        <v>42</v>
      </c>
      <c r="G35" s="122">
        <v>49</v>
      </c>
    </row>
    <row r="36" spans="2:7" x14ac:dyDescent="0.25">
      <c r="B36" s="266"/>
      <c r="C36" s="127" t="s">
        <v>116</v>
      </c>
      <c r="D36" s="121">
        <v>27</v>
      </c>
      <c r="E36" s="121">
        <v>36</v>
      </c>
      <c r="F36" s="121">
        <v>49</v>
      </c>
      <c r="G36" s="123">
        <v>56</v>
      </c>
    </row>
    <row r="37" spans="2:7" x14ac:dyDescent="0.25">
      <c r="B37" s="246">
        <v>52.5</v>
      </c>
      <c r="C37" s="126" t="s">
        <v>127</v>
      </c>
      <c r="D37" s="120">
        <v>29</v>
      </c>
      <c r="E37" s="120">
        <v>37</v>
      </c>
      <c r="F37" s="120">
        <v>48</v>
      </c>
      <c r="G37" s="122">
        <v>54</v>
      </c>
    </row>
    <row r="38" spans="2:7" ht="16.5" thickBot="1" x14ac:dyDescent="0.3">
      <c r="B38" s="247"/>
      <c r="C38" s="136" t="s">
        <v>116</v>
      </c>
      <c r="D38" s="118">
        <v>34</v>
      </c>
      <c r="E38" s="118">
        <v>43</v>
      </c>
      <c r="F38" s="118">
        <v>55</v>
      </c>
      <c r="G38" s="119">
        <v>61</v>
      </c>
    </row>
    <row r="39" spans="2:7" x14ac:dyDescent="0.25">
      <c r="B39" s="248" t="s">
        <v>140</v>
      </c>
      <c r="C39" s="248"/>
      <c r="D39" s="248"/>
      <c r="E39" s="248"/>
      <c r="F39" s="248"/>
      <c r="G39" s="248"/>
    </row>
    <row r="40" spans="2:7" x14ac:dyDescent="0.25">
      <c r="B40" s="249"/>
      <c r="C40" s="249"/>
      <c r="D40" s="249"/>
      <c r="E40" s="249"/>
      <c r="F40" s="249"/>
      <c r="G40" s="249"/>
    </row>
  </sheetData>
  <mergeCells count="15">
    <mergeCell ref="O3:O4"/>
    <mergeCell ref="P5:S5"/>
    <mergeCell ref="O18:O26"/>
    <mergeCell ref="B37:B38"/>
    <mergeCell ref="B39:G40"/>
    <mergeCell ref="N6:N7"/>
    <mergeCell ref="N8:N9"/>
    <mergeCell ref="N10:N11"/>
    <mergeCell ref="N13:S14"/>
    <mergeCell ref="B28:I28"/>
    <mergeCell ref="D32:G32"/>
    <mergeCell ref="D33:G33"/>
    <mergeCell ref="B32:B34"/>
    <mergeCell ref="C32:C34"/>
    <mergeCell ref="B35:B36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17AE5-18A4-4909-B52B-312FA1A01E83}">
  <sheetPr codeName="Sheet8"/>
  <dimension ref="A1:B24"/>
  <sheetViews>
    <sheetView topLeftCell="A13" workbookViewId="0">
      <selection activeCell="G33" sqref="G33"/>
    </sheetView>
  </sheetViews>
  <sheetFormatPr defaultRowHeight="15" x14ac:dyDescent="0.25"/>
  <cols>
    <col min="1" max="1" width="33.85546875" customWidth="1"/>
    <col min="2" max="2" width="25" customWidth="1"/>
  </cols>
  <sheetData>
    <row r="1" spans="1:2" ht="18.75" x14ac:dyDescent="0.3">
      <c r="A1" s="164" t="s">
        <v>188</v>
      </c>
    </row>
    <row r="2" spans="1:2" x14ac:dyDescent="0.25">
      <c r="A2" t="s">
        <v>157</v>
      </c>
      <c r="B2" t="str">
        <f>'CEM II, Mix Design'!D6</f>
        <v>20mm</v>
      </c>
    </row>
    <row r="3" spans="1:2" x14ac:dyDescent="0.25">
      <c r="A3" t="s">
        <v>139</v>
      </c>
      <c r="B3" t="str">
        <f>'CEM II, Mix Design'!D5</f>
        <v>Crushed</v>
      </c>
    </row>
    <row r="4" spans="1:2" x14ac:dyDescent="0.25">
      <c r="A4" t="s">
        <v>26</v>
      </c>
      <c r="B4" t="str">
        <f>'CEM II, Mix Design'!D3</f>
        <v>10-30mm</v>
      </c>
    </row>
    <row r="5" spans="1:2" x14ac:dyDescent="0.25">
      <c r="A5" t="s">
        <v>187</v>
      </c>
      <c r="B5">
        <v>140</v>
      </c>
    </row>
    <row r="7" spans="1:2" ht="18.75" customHeight="1" x14ac:dyDescent="0.25"/>
    <row r="8" spans="1:2" ht="24.75" customHeight="1" x14ac:dyDescent="0.3">
      <c r="A8" s="164" t="s">
        <v>189</v>
      </c>
    </row>
    <row r="9" spans="1:2" x14ac:dyDescent="0.25">
      <c r="A9" t="s">
        <v>53</v>
      </c>
      <c r="B9">
        <f>'CEM II, Mix Design'!H33</f>
        <v>42.5</v>
      </c>
    </row>
    <row r="10" spans="1:2" x14ac:dyDescent="0.25">
      <c r="A10" t="s">
        <v>139</v>
      </c>
      <c r="B10" t="str">
        <f>'CEM II, Mix Design'!D5</f>
        <v>Crushed</v>
      </c>
    </row>
    <row r="11" spans="1:2" x14ac:dyDescent="0.25">
      <c r="A11" t="s">
        <v>128</v>
      </c>
      <c r="B11">
        <f>'CEM II, Mix Design'!E36</f>
        <v>28</v>
      </c>
    </row>
    <row r="12" spans="1:2" x14ac:dyDescent="0.25">
      <c r="A12" t="s">
        <v>126</v>
      </c>
      <c r="B12">
        <v>22</v>
      </c>
    </row>
    <row r="15" spans="1:2" ht="18.75" x14ac:dyDescent="0.3">
      <c r="A15" s="164" t="s">
        <v>190</v>
      </c>
    </row>
    <row r="16" spans="1:2" x14ac:dyDescent="0.25">
      <c r="A16" t="s">
        <v>191</v>
      </c>
      <c r="B16" t="str">
        <f>'CEM II, Mix Design'!F2</f>
        <v>&lt;20</v>
      </c>
    </row>
    <row r="17" spans="1:2" x14ac:dyDescent="0.25">
      <c r="A17" s="159" t="s">
        <v>200</v>
      </c>
      <c r="B17">
        <f>'CEM II, Mix Design'!E28</f>
        <v>20</v>
      </c>
    </row>
    <row r="18" spans="1:2" x14ac:dyDescent="0.25">
      <c r="A18" t="s">
        <v>192</v>
      </c>
      <c r="B18">
        <v>4</v>
      </c>
    </row>
    <row r="21" spans="1:2" ht="18.75" x14ac:dyDescent="0.3">
      <c r="A21" s="164" t="s">
        <v>193</v>
      </c>
    </row>
    <row r="22" spans="1:2" x14ac:dyDescent="0.25">
      <c r="A22" t="s">
        <v>194</v>
      </c>
      <c r="B22">
        <v>3</v>
      </c>
    </row>
    <row r="23" spans="1:2" x14ac:dyDescent="0.25">
      <c r="A23" t="s">
        <v>25</v>
      </c>
    </row>
    <row r="24" spans="1:2" x14ac:dyDescent="0.25">
      <c r="A24" t="s">
        <v>195</v>
      </c>
    </row>
  </sheetData>
  <dataValidations count="1">
    <dataValidation type="list" allowBlank="1" showInputMessage="1" showErrorMessage="1" sqref="B22" xr:uid="{FD76F079-C2E3-4F96-B0C2-0CDCBADC2AE2}">
      <formula1>"1,2,3,4,5,6,7,8,9,10"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4:Z50"/>
  <sheetViews>
    <sheetView topLeftCell="A35" workbookViewId="0">
      <selection activeCell="U40" sqref="U40"/>
    </sheetView>
  </sheetViews>
  <sheetFormatPr defaultRowHeight="15" x14ac:dyDescent="0.25"/>
  <cols>
    <col min="1" max="1" width="11.5703125" customWidth="1"/>
    <col min="2" max="2" width="11.42578125" customWidth="1"/>
    <col min="3" max="3" width="10.7109375" customWidth="1"/>
    <col min="4" max="4" width="11.42578125" customWidth="1"/>
    <col min="5" max="5" width="11" customWidth="1"/>
    <col min="6" max="6" width="9.7109375" customWidth="1"/>
    <col min="7" max="7" width="11.5703125" customWidth="1"/>
    <col min="8" max="8" width="11" customWidth="1"/>
    <col min="9" max="9" width="11.42578125" customWidth="1"/>
    <col min="10" max="10" width="11" customWidth="1"/>
    <col min="11" max="11" width="11.5703125" customWidth="1"/>
    <col min="12" max="13" width="9.28515625" customWidth="1"/>
    <col min="14" max="14" width="11.5703125" customWidth="1"/>
    <col min="15" max="15" width="11" customWidth="1"/>
    <col min="21" max="21" width="11.5703125" customWidth="1"/>
    <col min="22" max="22" width="11" customWidth="1"/>
  </cols>
  <sheetData>
    <row r="4" spans="1:26" x14ac:dyDescent="0.25">
      <c r="A4" s="159" t="s">
        <v>158</v>
      </c>
      <c r="B4" t="s">
        <v>159</v>
      </c>
      <c r="C4" t="s">
        <v>160</v>
      </c>
      <c r="D4" t="s">
        <v>161</v>
      </c>
      <c r="E4" t="s">
        <v>162</v>
      </c>
      <c r="G4" s="159" t="s">
        <v>158</v>
      </c>
      <c r="H4" t="s">
        <v>159</v>
      </c>
      <c r="I4" t="s">
        <v>160</v>
      </c>
      <c r="J4" t="s">
        <v>161</v>
      </c>
      <c r="K4" t="s">
        <v>162</v>
      </c>
      <c r="N4" s="159" t="s">
        <v>158</v>
      </c>
      <c r="O4" t="s">
        <v>159</v>
      </c>
      <c r="P4" t="s">
        <v>160</v>
      </c>
      <c r="Q4" t="s">
        <v>161</v>
      </c>
      <c r="R4" t="s">
        <v>162</v>
      </c>
      <c r="U4" s="159" t="s">
        <v>158</v>
      </c>
      <c r="V4" t="s">
        <v>159</v>
      </c>
      <c r="W4" t="s">
        <v>160</v>
      </c>
      <c r="X4" t="s">
        <v>161</v>
      </c>
      <c r="Y4" t="s">
        <v>162</v>
      </c>
    </row>
    <row r="5" spans="1:26" x14ac:dyDescent="0.25">
      <c r="A5">
        <v>15</v>
      </c>
      <c r="B5">
        <v>0.2</v>
      </c>
      <c r="C5">
        <v>48.33</v>
      </c>
      <c r="D5">
        <v>0.8</v>
      </c>
      <c r="E5">
        <v>65</v>
      </c>
      <c r="G5">
        <v>15</v>
      </c>
      <c r="H5">
        <v>0.2</v>
      </c>
      <c r="I5">
        <v>50</v>
      </c>
      <c r="J5">
        <v>0.6</v>
      </c>
      <c r="K5">
        <v>61.11</v>
      </c>
      <c r="N5">
        <v>15</v>
      </c>
      <c r="O5">
        <v>0.2</v>
      </c>
      <c r="P5">
        <v>55</v>
      </c>
      <c r="Q5">
        <v>0.8</v>
      </c>
      <c r="R5">
        <v>70</v>
      </c>
      <c r="U5">
        <v>15</v>
      </c>
      <c r="V5">
        <v>0.2</v>
      </c>
      <c r="W5">
        <v>61.11</v>
      </c>
      <c r="X5">
        <v>0.8</v>
      </c>
      <c r="Y5">
        <v>77.78</v>
      </c>
    </row>
    <row r="6" spans="1:26" x14ac:dyDescent="0.25">
      <c r="A6">
        <v>40</v>
      </c>
      <c r="B6">
        <v>0.2</v>
      </c>
      <c r="C6">
        <v>36.67</v>
      </c>
      <c r="D6">
        <v>0.8</v>
      </c>
      <c r="E6">
        <v>51.67</v>
      </c>
      <c r="G6">
        <v>40</v>
      </c>
      <c r="H6">
        <v>0.2</v>
      </c>
      <c r="I6">
        <v>38.33</v>
      </c>
      <c r="J6">
        <v>0.6</v>
      </c>
      <c r="K6">
        <v>48.89</v>
      </c>
      <c r="N6">
        <v>40</v>
      </c>
      <c r="O6">
        <v>0.2</v>
      </c>
      <c r="P6">
        <v>42.22</v>
      </c>
      <c r="Q6">
        <v>0.8</v>
      </c>
      <c r="R6">
        <v>55</v>
      </c>
      <c r="U6">
        <v>40</v>
      </c>
      <c r="V6">
        <v>0.2</v>
      </c>
      <c r="W6">
        <v>48.33</v>
      </c>
      <c r="X6">
        <v>0.8</v>
      </c>
      <c r="Y6">
        <v>62.22</v>
      </c>
    </row>
    <row r="7" spans="1:26" x14ac:dyDescent="0.25">
      <c r="A7">
        <v>60</v>
      </c>
      <c r="B7">
        <v>0.2</v>
      </c>
      <c r="C7">
        <v>31.67</v>
      </c>
      <c r="D7">
        <v>0.8</v>
      </c>
      <c r="E7">
        <v>41.67</v>
      </c>
      <c r="G7">
        <v>60</v>
      </c>
      <c r="H7">
        <v>0.2</v>
      </c>
      <c r="I7">
        <v>32.78</v>
      </c>
      <c r="J7">
        <v>0.6</v>
      </c>
      <c r="K7">
        <v>40</v>
      </c>
      <c r="N7">
        <v>60</v>
      </c>
      <c r="O7">
        <v>0.2</v>
      </c>
      <c r="P7">
        <v>36.67</v>
      </c>
      <c r="Q7">
        <v>0.8</v>
      </c>
      <c r="R7">
        <v>45</v>
      </c>
      <c r="U7">
        <v>60</v>
      </c>
      <c r="V7">
        <v>0.2</v>
      </c>
      <c r="W7">
        <v>40</v>
      </c>
      <c r="X7">
        <v>0.8</v>
      </c>
      <c r="Y7">
        <v>50</v>
      </c>
    </row>
    <row r="8" spans="1:26" x14ac:dyDescent="0.25">
      <c r="A8">
        <v>80</v>
      </c>
      <c r="B8">
        <v>0.2</v>
      </c>
      <c r="C8">
        <v>25.56</v>
      </c>
      <c r="D8">
        <v>0.8</v>
      </c>
      <c r="E8">
        <v>35</v>
      </c>
      <c r="G8">
        <v>80</v>
      </c>
      <c r="H8">
        <v>0.2</v>
      </c>
      <c r="I8">
        <v>27.78</v>
      </c>
      <c r="J8">
        <v>0.6</v>
      </c>
      <c r="K8">
        <v>33.33</v>
      </c>
      <c r="N8">
        <v>80</v>
      </c>
      <c r="O8">
        <v>0.2</v>
      </c>
      <c r="P8">
        <v>30</v>
      </c>
      <c r="Q8">
        <v>0.8</v>
      </c>
      <c r="R8">
        <v>38.33</v>
      </c>
      <c r="U8">
        <v>80</v>
      </c>
      <c r="V8">
        <v>0.2</v>
      </c>
      <c r="W8">
        <v>33.33</v>
      </c>
      <c r="X8">
        <v>0.8</v>
      </c>
      <c r="Y8">
        <v>41.67</v>
      </c>
    </row>
    <row r="9" spans="1:26" x14ac:dyDescent="0.25">
      <c r="A9">
        <v>100</v>
      </c>
      <c r="B9">
        <v>0.2</v>
      </c>
      <c r="C9">
        <v>22.78</v>
      </c>
      <c r="D9">
        <v>0.8</v>
      </c>
      <c r="E9">
        <v>30</v>
      </c>
      <c r="G9">
        <v>100</v>
      </c>
      <c r="H9">
        <v>0.2</v>
      </c>
      <c r="I9">
        <v>23.89</v>
      </c>
      <c r="J9">
        <v>0.6</v>
      </c>
      <c r="K9">
        <v>28.33</v>
      </c>
      <c r="N9">
        <v>100</v>
      </c>
      <c r="O9">
        <v>0.2</v>
      </c>
      <c r="P9">
        <v>25</v>
      </c>
      <c r="Q9">
        <v>0.8</v>
      </c>
      <c r="R9">
        <v>33.33</v>
      </c>
      <c r="U9">
        <v>100</v>
      </c>
      <c r="V9">
        <v>0.2</v>
      </c>
      <c r="W9">
        <v>28.33</v>
      </c>
      <c r="X9">
        <v>0.8</v>
      </c>
      <c r="Y9">
        <v>36.11</v>
      </c>
    </row>
    <row r="12" spans="1:26" x14ac:dyDescent="0.25">
      <c r="A12" t="s">
        <v>56</v>
      </c>
      <c r="B12" s="161" t="s">
        <v>202</v>
      </c>
      <c r="C12" s="161" t="s">
        <v>203</v>
      </c>
      <c r="D12" s="161" t="s">
        <v>204</v>
      </c>
      <c r="E12" s="161" t="s">
        <v>205</v>
      </c>
      <c r="F12" s="161" t="s">
        <v>206</v>
      </c>
      <c r="G12" t="s">
        <v>56</v>
      </c>
      <c r="H12" s="161" t="s">
        <v>202</v>
      </c>
      <c r="I12" s="161" t="s">
        <v>203</v>
      </c>
      <c r="J12" s="161" t="s">
        <v>204</v>
      </c>
      <c r="K12" s="161" t="s">
        <v>205</v>
      </c>
      <c r="L12" s="161" t="s">
        <v>206</v>
      </c>
      <c r="N12" t="s">
        <v>56</v>
      </c>
      <c r="O12" s="161" t="s">
        <v>202</v>
      </c>
      <c r="P12" s="161" t="s">
        <v>203</v>
      </c>
      <c r="Q12" s="161" t="s">
        <v>204</v>
      </c>
      <c r="R12" s="161" t="s">
        <v>205</v>
      </c>
      <c r="S12" s="161" t="s">
        <v>206</v>
      </c>
      <c r="U12" t="s">
        <v>56</v>
      </c>
      <c r="V12" s="161" t="s">
        <v>202</v>
      </c>
      <c r="W12" s="161" t="s">
        <v>203</v>
      </c>
      <c r="X12" s="161" t="s">
        <v>204</v>
      </c>
      <c r="Y12" s="161" t="s">
        <v>205</v>
      </c>
      <c r="Z12" s="161" t="s">
        <v>206</v>
      </c>
    </row>
    <row r="13" spans="1:26" ht="17.25" x14ac:dyDescent="0.3">
      <c r="A13">
        <v>0.2</v>
      </c>
      <c r="B13">
        <f>27.783*A13+42.773</f>
        <v>48.329600000000006</v>
      </c>
      <c r="C13">
        <f>25*A13+31.67</f>
        <v>36.67</v>
      </c>
      <c r="D13">
        <f>16.667*A13+28.337</f>
        <v>31.670400000000001</v>
      </c>
      <c r="E13">
        <f>15.733*A13+22.413</f>
        <v>25.5596</v>
      </c>
      <c r="F13">
        <f>12.033*A13+20.373</f>
        <v>22.779600000000002</v>
      </c>
      <c r="G13">
        <v>0.2</v>
      </c>
      <c r="H13">
        <f>27.775*G13+44.445</f>
        <v>50</v>
      </c>
      <c r="I13">
        <f>26.4*G13+33.05</f>
        <v>38.33</v>
      </c>
      <c r="J13">
        <f>18.05*G13 + 29.17</f>
        <v>32.78</v>
      </c>
      <c r="K13" s="160">
        <f>13.875*G13 + 25.005</f>
        <v>27.78</v>
      </c>
      <c r="L13">
        <f>11.1*G13 + 21.67</f>
        <v>23.89</v>
      </c>
      <c r="N13">
        <v>0.2</v>
      </c>
      <c r="O13">
        <f>25*N13+50</f>
        <v>55</v>
      </c>
      <c r="P13">
        <f>21.3*N13 + 37.96</f>
        <v>42.22</v>
      </c>
      <c r="Q13">
        <f>13.883*N13+ 33.893</f>
        <v>36.669600000000003</v>
      </c>
      <c r="R13" s="160">
        <f>13.883*N13+ 27.223</f>
        <v>29.999600000000001</v>
      </c>
      <c r="S13">
        <f>13.883*N13 + 22.223</f>
        <v>24.999600000000001</v>
      </c>
      <c r="U13">
        <v>0.2</v>
      </c>
      <c r="V13">
        <f>27.783*U13 + 55.553</f>
        <v>61.1096</v>
      </c>
      <c r="W13">
        <f>23.15*U13+43.7</f>
        <v>48.330000000000005</v>
      </c>
      <c r="X13">
        <f>16.667*U13+36.667</f>
        <v>40.000399999999999</v>
      </c>
      <c r="Y13" s="160">
        <f>13.9*U13+30.55</f>
        <v>33.33</v>
      </c>
      <c r="Z13">
        <f>12.967*U13+25.737</f>
        <v>28.330399999999997</v>
      </c>
    </row>
    <row r="14" spans="1:26" x14ac:dyDescent="0.25">
      <c r="A14">
        <f>A13+0.2</f>
        <v>0.4</v>
      </c>
      <c r="B14">
        <f>27.783*A14+42.773</f>
        <v>53.886200000000002</v>
      </c>
      <c r="C14">
        <f>25*A14+31.67</f>
        <v>41.67</v>
      </c>
      <c r="D14">
        <f>16.667*A14+28.337</f>
        <v>35.003799999999998</v>
      </c>
      <c r="E14">
        <f>15.733*A14+22.413</f>
        <v>28.706200000000003</v>
      </c>
      <c r="F14">
        <f>12.033*A14+20.373</f>
        <v>25.186199999999999</v>
      </c>
      <c r="G14">
        <f>G13+0.2</f>
        <v>0.4</v>
      </c>
      <c r="H14">
        <f>27.775*G14+44.445</f>
        <v>55.555</v>
      </c>
      <c r="I14">
        <f>26.4*G14+33.05</f>
        <v>43.61</v>
      </c>
      <c r="J14">
        <f>18.05*G14 + 29.17</f>
        <v>36.39</v>
      </c>
      <c r="K14">
        <f>13.875*G14 + 25.005</f>
        <v>30.555</v>
      </c>
      <c r="L14">
        <f>11.1*G14 + 21.67</f>
        <v>26.110000000000003</v>
      </c>
      <c r="N14">
        <f>N13+0.2</f>
        <v>0.4</v>
      </c>
      <c r="O14">
        <f>25*N14+50</f>
        <v>60</v>
      </c>
      <c r="P14">
        <f>21.3*N14 + 37.96</f>
        <v>46.480000000000004</v>
      </c>
      <c r="Q14">
        <f>13.883*N14+ 33.893</f>
        <v>39.446200000000005</v>
      </c>
      <c r="R14">
        <f>13.883*N14+ 27.223</f>
        <v>32.776200000000003</v>
      </c>
      <c r="S14">
        <f>13.883*N14 + 22.223</f>
        <v>27.776199999999999</v>
      </c>
      <c r="U14">
        <f>U13+0.2</f>
        <v>0.4</v>
      </c>
      <c r="V14">
        <f>27.783*U14 + 55.553</f>
        <v>66.666200000000003</v>
      </c>
      <c r="W14">
        <f>23.15*U14+43.7</f>
        <v>52.96</v>
      </c>
      <c r="X14">
        <f>16.667*U14+36.667</f>
        <v>43.333800000000004</v>
      </c>
      <c r="Y14">
        <f>13.9*U14+30.55</f>
        <v>36.11</v>
      </c>
      <c r="Z14">
        <f>12.967*U14+25.737</f>
        <v>30.9238</v>
      </c>
    </row>
    <row r="15" spans="1:26" x14ac:dyDescent="0.25">
      <c r="A15">
        <f>A14+0.2</f>
        <v>0.60000000000000009</v>
      </c>
      <c r="B15">
        <f>27.783*A15+42.773</f>
        <v>59.442800000000005</v>
      </c>
      <c r="C15">
        <f>25*A15+31.67</f>
        <v>46.67</v>
      </c>
      <c r="D15">
        <f>16.667*A15+28.337</f>
        <v>38.337200000000003</v>
      </c>
      <c r="E15">
        <f>15.733*A15+22.413</f>
        <v>31.852800000000002</v>
      </c>
      <c r="F15">
        <f>12.033*A15+20.373</f>
        <v>27.592800000000004</v>
      </c>
      <c r="G15">
        <f>G14+0.2</f>
        <v>0.60000000000000009</v>
      </c>
      <c r="H15">
        <f>27.775*G15+44.445</f>
        <v>61.11</v>
      </c>
      <c r="I15">
        <f>26.4*G15+33.05</f>
        <v>48.89</v>
      </c>
      <c r="J15">
        <f>18.05*G15 + 29.17</f>
        <v>40</v>
      </c>
      <c r="K15">
        <f>13.875*G15 + 25.005</f>
        <v>33.33</v>
      </c>
      <c r="L15">
        <f>11.1*G15 + 21.67</f>
        <v>28.330000000000002</v>
      </c>
      <c r="N15">
        <f>N14+0.2</f>
        <v>0.60000000000000009</v>
      </c>
      <c r="O15">
        <f>25*N15+50</f>
        <v>65</v>
      </c>
      <c r="P15">
        <f>21.3*N15 + 37.96</f>
        <v>50.74</v>
      </c>
      <c r="Q15">
        <f>13.883*N15+ 33.893</f>
        <v>42.222799999999999</v>
      </c>
      <c r="R15">
        <f>13.883*N15+ 27.223</f>
        <v>35.552799999999998</v>
      </c>
      <c r="S15">
        <f>13.883*N15 + 22.223</f>
        <v>30.552799999999998</v>
      </c>
      <c r="U15">
        <f>U14+0.2</f>
        <v>0.60000000000000009</v>
      </c>
      <c r="V15">
        <f>27.783*U15 + 55.553</f>
        <v>72.222800000000007</v>
      </c>
      <c r="W15">
        <f>23.15*U15+43.7</f>
        <v>57.59</v>
      </c>
      <c r="X15">
        <f>16.667*U15+36.667</f>
        <v>46.667200000000008</v>
      </c>
      <c r="Y15">
        <f>13.9*U15+30.55</f>
        <v>38.89</v>
      </c>
      <c r="Z15">
        <f>12.967*U15+25.737</f>
        <v>33.517200000000003</v>
      </c>
    </row>
    <row r="16" spans="1:26" x14ac:dyDescent="0.25">
      <c r="A16">
        <f>A15+0.2</f>
        <v>0.8</v>
      </c>
      <c r="B16">
        <f>27.783*A16+42.773</f>
        <v>64.999400000000009</v>
      </c>
      <c r="C16">
        <f>25*A16+31.67</f>
        <v>51.67</v>
      </c>
      <c r="D16">
        <f>16.667*A16+28.337</f>
        <v>41.6706</v>
      </c>
      <c r="E16">
        <f>15.733*A16+22.413</f>
        <v>34.999400000000001</v>
      </c>
      <c r="F16">
        <f>12.033*A16+20.373</f>
        <v>29.999400000000001</v>
      </c>
      <c r="G16">
        <f>G15+0.2</f>
        <v>0.8</v>
      </c>
      <c r="H16">
        <f>27.775*G16+44.445</f>
        <v>66.664999999999992</v>
      </c>
      <c r="I16">
        <f>26.4*G16+33.05</f>
        <v>54.17</v>
      </c>
      <c r="J16">
        <f>18.05*G16 + 29.17</f>
        <v>43.61</v>
      </c>
      <c r="K16">
        <f>13.875*G16 + 25.005</f>
        <v>36.105000000000004</v>
      </c>
      <c r="L16">
        <f>11.1*G16 + 21.67</f>
        <v>30.550000000000004</v>
      </c>
      <c r="N16">
        <f>N15+0.2</f>
        <v>0.8</v>
      </c>
      <c r="O16">
        <f>25*N16+50</f>
        <v>70</v>
      </c>
      <c r="P16">
        <f>21.3*N16 + 37.96</f>
        <v>55</v>
      </c>
      <c r="Q16">
        <f>13.883*N16+ 33.893</f>
        <v>44.999400000000001</v>
      </c>
      <c r="R16">
        <f>13.883*N16+ 27.223</f>
        <v>38.3294</v>
      </c>
      <c r="S16">
        <f>13.883*N16 + 22.223</f>
        <v>33.3294</v>
      </c>
      <c r="U16">
        <f>U15+0.2</f>
        <v>0.8</v>
      </c>
      <c r="V16">
        <f>27.783*U16 + 55.553</f>
        <v>77.779399999999995</v>
      </c>
      <c r="W16">
        <f>23.15*U16+43.7</f>
        <v>62.22</v>
      </c>
      <c r="X16">
        <f>16.667*U16+36.667</f>
        <v>50.000600000000006</v>
      </c>
      <c r="Y16">
        <f>13.9*U16+30.55</f>
        <v>41.67</v>
      </c>
      <c r="Z16">
        <f>12.967*U16+25.737</f>
        <v>36.110599999999998</v>
      </c>
    </row>
    <row r="17" spans="1:7" x14ac:dyDescent="0.25">
      <c r="A17" t="s">
        <v>212</v>
      </c>
      <c r="B17" s="166" t="s">
        <v>207</v>
      </c>
      <c r="C17" s="166" t="s">
        <v>208</v>
      </c>
      <c r="D17" s="166" t="s">
        <v>209</v>
      </c>
      <c r="E17" s="166" t="s">
        <v>210</v>
      </c>
      <c r="F17" s="166" t="s">
        <v>211</v>
      </c>
      <c r="G17" t="s">
        <v>212</v>
      </c>
    </row>
    <row r="39" spans="1:22" x14ac:dyDescent="0.25">
      <c r="N39" s="168" t="s">
        <v>268</v>
      </c>
      <c r="O39" s="168" t="s">
        <v>267</v>
      </c>
      <c r="U39" s="168" t="s">
        <v>268</v>
      </c>
      <c r="V39" s="168" t="s">
        <v>267</v>
      </c>
    </row>
    <row r="40" spans="1:22" x14ac:dyDescent="0.25">
      <c r="N40" s="161">
        <v>0.15</v>
      </c>
      <c r="O40" s="167" t="s">
        <v>222</v>
      </c>
      <c r="U40" s="161">
        <v>0.15</v>
      </c>
      <c r="V40" s="167" t="s">
        <v>227</v>
      </c>
    </row>
    <row r="41" spans="1:22" x14ac:dyDescent="0.25">
      <c r="N41" s="161">
        <v>0.4</v>
      </c>
      <c r="O41" s="167" t="s">
        <v>223</v>
      </c>
      <c r="U41" s="161">
        <v>0.4</v>
      </c>
      <c r="V41" s="167" t="s">
        <v>228</v>
      </c>
    </row>
    <row r="42" spans="1:22" x14ac:dyDescent="0.25">
      <c r="N42" s="161">
        <v>0.6</v>
      </c>
      <c r="O42" s="167" t="s">
        <v>224</v>
      </c>
      <c r="U42" s="161">
        <v>0.6</v>
      </c>
      <c r="V42" s="167" t="s">
        <v>229</v>
      </c>
    </row>
    <row r="43" spans="1:22" x14ac:dyDescent="0.25">
      <c r="N43" s="161">
        <v>0.8</v>
      </c>
      <c r="O43" s="167" t="s">
        <v>225</v>
      </c>
      <c r="U43" s="161">
        <v>0.8</v>
      </c>
      <c r="V43" s="167" t="s">
        <v>230</v>
      </c>
    </row>
    <row r="44" spans="1:22" x14ac:dyDescent="0.25">
      <c r="N44" s="161">
        <v>1</v>
      </c>
      <c r="O44" s="167" t="s">
        <v>226</v>
      </c>
      <c r="U44" s="161">
        <v>1</v>
      </c>
      <c r="V44" s="167" t="s">
        <v>231</v>
      </c>
    </row>
    <row r="45" spans="1:22" x14ac:dyDescent="0.25">
      <c r="A45" s="168" t="s">
        <v>268</v>
      </c>
      <c r="B45" s="168" t="s">
        <v>267</v>
      </c>
      <c r="G45" s="168" t="s">
        <v>268</v>
      </c>
      <c r="H45" s="168" t="s">
        <v>267</v>
      </c>
    </row>
    <row r="46" spans="1:22" x14ac:dyDescent="0.25">
      <c r="A46" s="161">
        <v>0.15</v>
      </c>
      <c r="B46" t="s">
        <v>215</v>
      </c>
      <c r="G46" s="161">
        <v>0.15</v>
      </c>
      <c r="H46" s="167" t="s">
        <v>213</v>
      </c>
    </row>
    <row r="47" spans="1:22" x14ac:dyDescent="0.25">
      <c r="A47" s="161">
        <v>0.4</v>
      </c>
      <c r="B47" s="167" t="s">
        <v>208</v>
      </c>
      <c r="G47" s="161">
        <v>0.4</v>
      </c>
      <c r="H47" s="167" t="s">
        <v>214</v>
      </c>
    </row>
    <row r="48" spans="1:22" x14ac:dyDescent="0.25">
      <c r="A48" s="161">
        <v>0.6</v>
      </c>
      <c r="B48" t="s">
        <v>216</v>
      </c>
      <c r="G48" s="161">
        <v>0.6</v>
      </c>
      <c r="H48" s="167" t="s">
        <v>221</v>
      </c>
    </row>
    <row r="49" spans="1:8" x14ac:dyDescent="0.25">
      <c r="A49" s="161">
        <v>0.8</v>
      </c>
      <c r="B49" t="s">
        <v>217</v>
      </c>
      <c r="G49" s="161">
        <v>0.8</v>
      </c>
      <c r="H49" s="167" t="s">
        <v>220</v>
      </c>
    </row>
    <row r="50" spans="1:8" x14ac:dyDescent="0.25">
      <c r="A50" s="161">
        <v>1</v>
      </c>
      <c r="B50" t="s">
        <v>218</v>
      </c>
      <c r="G50" s="161">
        <v>1</v>
      </c>
      <c r="H50" s="167" t="s">
        <v>219</v>
      </c>
    </row>
  </sheetData>
  <pageMargins left="0.7" right="0.7" top="0.75" bottom="0.75" header="0.3" footer="0.3"/>
  <pageSetup orientation="portrait" horizontalDpi="1200" verticalDpi="1200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AA34"/>
  <sheetViews>
    <sheetView topLeftCell="A16" workbookViewId="0">
      <selection activeCell="V30" sqref="V30"/>
    </sheetView>
  </sheetViews>
  <sheetFormatPr defaultRowHeight="15" x14ac:dyDescent="0.25"/>
  <cols>
    <col min="1" max="1" width="11.5703125" customWidth="1"/>
    <col min="2" max="2" width="11" customWidth="1"/>
    <col min="8" max="8" width="11.5703125" customWidth="1"/>
    <col min="9" max="9" width="11" customWidth="1"/>
    <col min="15" max="15" width="11.5703125" customWidth="1"/>
    <col min="16" max="16" width="11" customWidth="1"/>
    <col min="22" max="22" width="11.5703125" customWidth="1"/>
    <col min="23" max="23" width="11" customWidth="1"/>
  </cols>
  <sheetData>
    <row r="1" spans="1:27" x14ac:dyDescent="0.25">
      <c r="A1" t="s">
        <v>56</v>
      </c>
      <c r="B1" s="161" t="s">
        <v>202</v>
      </c>
      <c r="C1" s="161" t="s">
        <v>203</v>
      </c>
      <c r="D1" s="161" t="s">
        <v>204</v>
      </c>
      <c r="E1" s="161" t="s">
        <v>205</v>
      </c>
      <c r="F1" s="161" t="s">
        <v>206</v>
      </c>
      <c r="H1" t="s">
        <v>56</v>
      </c>
      <c r="I1" s="161" t="s">
        <v>202</v>
      </c>
      <c r="J1" s="161" t="s">
        <v>203</v>
      </c>
      <c r="K1" s="161" t="s">
        <v>204</v>
      </c>
      <c r="L1" s="161" t="s">
        <v>205</v>
      </c>
      <c r="M1" s="161" t="s">
        <v>206</v>
      </c>
      <c r="O1" t="s">
        <v>56</v>
      </c>
      <c r="P1" s="161" t="s">
        <v>202</v>
      </c>
      <c r="Q1" s="161" t="s">
        <v>203</v>
      </c>
      <c r="R1" s="161" t="s">
        <v>204</v>
      </c>
      <c r="S1" s="161" t="s">
        <v>205</v>
      </c>
      <c r="T1" s="161" t="s">
        <v>206</v>
      </c>
      <c r="V1" t="s">
        <v>56</v>
      </c>
      <c r="W1" s="161" t="s">
        <v>202</v>
      </c>
      <c r="X1" s="161" t="s">
        <v>203</v>
      </c>
      <c r="Y1" s="161" t="s">
        <v>204</v>
      </c>
      <c r="Z1" s="161" t="s">
        <v>205</v>
      </c>
      <c r="AA1" s="161" t="s">
        <v>206</v>
      </c>
    </row>
    <row r="2" spans="1:27" ht="17.25" x14ac:dyDescent="0.3">
      <c r="A2">
        <v>0.2</v>
      </c>
      <c r="B2">
        <f>27.75*A2+28.91</f>
        <v>34.46</v>
      </c>
      <c r="C2">
        <f>19.45*A2+24.44</f>
        <v>28.330000000000002</v>
      </c>
      <c r="D2">
        <f>16.65*A2+20.01</f>
        <v>23.340000000000003</v>
      </c>
      <c r="E2">
        <f>13.9*A2+16.66</f>
        <v>19.440000000000001</v>
      </c>
      <c r="F2">
        <f>11.1*A2+14.45</f>
        <v>16.669999999999998</v>
      </c>
      <c r="H2">
        <v>0.2</v>
      </c>
      <c r="I2">
        <f>27.783*H2+31.663</f>
        <v>37.2196</v>
      </c>
      <c r="J2">
        <f>21.3*H2+25.74</f>
        <v>30</v>
      </c>
      <c r="K2">
        <f>16.667*H2+21.667</f>
        <v>25.000400000000003</v>
      </c>
      <c r="L2" s="160">
        <f>16.667*H2+16.667</f>
        <v>20.000400000000003</v>
      </c>
      <c r="M2">
        <f>12.033*H2+15.373</f>
        <v>17.779599999999999</v>
      </c>
      <c r="O2">
        <v>0.2</v>
      </c>
      <c r="P2">
        <f>27.775*O2+35.555</f>
        <v>41.11</v>
      </c>
      <c r="Q2">
        <f>22.225*O2 + 27.775</f>
        <v>32.22</v>
      </c>
      <c r="R2">
        <f>16.65*O2+24.45</f>
        <v>27.78</v>
      </c>
      <c r="S2" s="160">
        <f>13.9*O2+ 20.55</f>
        <v>23.330000000000002</v>
      </c>
      <c r="T2">
        <f>12.5*O2 + 17.5</f>
        <v>20</v>
      </c>
      <c r="V2">
        <v>0.2</v>
      </c>
      <c r="W2">
        <f>27.775*V2 + 42.22</f>
        <v>47.774999999999999</v>
      </c>
      <c r="X2">
        <f>22.225*V2+33.33</f>
        <v>37.774999999999999</v>
      </c>
      <c r="Y2">
        <f>19.45*V2+26.66</f>
        <v>30.55</v>
      </c>
      <c r="Z2" s="160">
        <f>16.675*V2+22.22</f>
        <v>25.555</v>
      </c>
      <c r="AA2">
        <f>15.275*V2+18.89</f>
        <v>21.945</v>
      </c>
    </row>
    <row r="3" spans="1:27" x14ac:dyDescent="0.25">
      <c r="A3">
        <f>A2+0.2</f>
        <v>0.4</v>
      </c>
      <c r="B3">
        <f>27.75*A3+28.91</f>
        <v>40.010000000000005</v>
      </c>
      <c r="C3">
        <f>19.45*A3+24.44</f>
        <v>32.22</v>
      </c>
      <c r="D3">
        <f>16.65*A3+20.01</f>
        <v>26.67</v>
      </c>
      <c r="E3">
        <f>13.9*A3+16.66</f>
        <v>22.22</v>
      </c>
      <c r="F3">
        <f>11.1*A3+14.45</f>
        <v>18.89</v>
      </c>
      <c r="H3">
        <f>H2+0.2</f>
        <v>0.4</v>
      </c>
      <c r="I3">
        <f>27.783*H3+31.663</f>
        <v>42.776200000000003</v>
      </c>
      <c r="J3">
        <f>21.3*H3+25.74</f>
        <v>34.26</v>
      </c>
      <c r="K3">
        <f>16.667*H3+21.667</f>
        <v>28.333800000000004</v>
      </c>
      <c r="L3">
        <f>16.667*H3+16.667</f>
        <v>23.333800000000004</v>
      </c>
      <c r="M3">
        <f>12.033*H3+15.373</f>
        <v>20.186199999999999</v>
      </c>
      <c r="O3">
        <f>O2+0.2</f>
        <v>0.4</v>
      </c>
      <c r="P3">
        <f>27.775*O3+35.555</f>
        <v>46.664999999999999</v>
      </c>
      <c r="Q3">
        <f>22.225*O3 + 27.775</f>
        <v>36.664999999999999</v>
      </c>
      <c r="R3">
        <f>16.65*O3+24.45</f>
        <v>31.11</v>
      </c>
      <c r="S3">
        <f>13.9*O3+ 20.55</f>
        <v>26.11</v>
      </c>
      <c r="T3">
        <f>12.5*O3 + 17.5</f>
        <v>22.5</v>
      </c>
      <c r="V3">
        <f>V2+0.2</f>
        <v>0.4</v>
      </c>
      <c r="W3">
        <f>27.775*V3 + 42.22</f>
        <v>53.33</v>
      </c>
      <c r="X3">
        <f>22.225*V3+33.33</f>
        <v>42.22</v>
      </c>
      <c r="Y3">
        <f>19.45*V3+26.66</f>
        <v>34.44</v>
      </c>
      <c r="Z3">
        <f>16.675*V3+22.22</f>
        <v>28.89</v>
      </c>
      <c r="AA3">
        <f>15.275*V3+18.89</f>
        <v>25</v>
      </c>
    </row>
    <row r="4" spans="1:27" x14ac:dyDescent="0.25">
      <c r="A4">
        <f>A3+0.2</f>
        <v>0.60000000000000009</v>
      </c>
      <c r="B4">
        <f>27.75*A4+28.91</f>
        <v>45.56</v>
      </c>
      <c r="C4">
        <f>19.45*A4+24.44</f>
        <v>36.11</v>
      </c>
      <c r="D4">
        <f>16.65*A4+20.01</f>
        <v>30</v>
      </c>
      <c r="E4">
        <f>13.9*A4+16.66</f>
        <v>25</v>
      </c>
      <c r="F4">
        <f>11.1*A4+14.45</f>
        <v>21.11</v>
      </c>
      <c r="H4">
        <f>H3+0.2</f>
        <v>0.60000000000000009</v>
      </c>
      <c r="I4">
        <f>27.783*H4+31.663</f>
        <v>48.332800000000006</v>
      </c>
      <c r="J4">
        <f>21.3*H4+25.74</f>
        <v>38.520000000000003</v>
      </c>
      <c r="K4">
        <f>16.667*H4+21.667</f>
        <v>31.667200000000005</v>
      </c>
      <c r="L4">
        <f>16.667*H4+16.667</f>
        <v>26.667200000000005</v>
      </c>
      <c r="M4">
        <f>12.033*H4+15.373</f>
        <v>22.5928</v>
      </c>
      <c r="O4">
        <f>O3+0.2</f>
        <v>0.60000000000000009</v>
      </c>
      <c r="P4">
        <f>27.775*O4+35.555</f>
        <v>52.22</v>
      </c>
      <c r="Q4">
        <f>22.225*O4 + 27.775</f>
        <v>41.11</v>
      </c>
      <c r="R4">
        <f>16.65*O4+24.45</f>
        <v>34.44</v>
      </c>
      <c r="S4">
        <f>13.9*O4+ 20.55</f>
        <v>28.89</v>
      </c>
      <c r="T4">
        <f>12.5*O4 + 17.5</f>
        <v>25</v>
      </c>
      <c r="V4">
        <f>V3+0.2</f>
        <v>0.60000000000000009</v>
      </c>
      <c r="W4">
        <f>27.775*V4 + 42.22</f>
        <v>58.885000000000005</v>
      </c>
      <c r="X4">
        <f>22.225*V4+33.33</f>
        <v>46.664999999999999</v>
      </c>
      <c r="Y4">
        <f>19.45*V4+26.66</f>
        <v>38.33</v>
      </c>
      <c r="Z4">
        <f>16.675*V4+22.22</f>
        <v>32.225000000000001</v>
      </c>
      <c r="AA4">
        <f>15.275*V4+18.89</f>
        <v>28.055</v>
      </c>
    </row>
    <row r="5" spans="1:27" x14ac:dyDescent="0.25">
      <c r="A5">
        <f>A4+0.2</f>
        <v>0.8</v>
      </c>
      <c r="B5">
        <f>27.75*A5+28.91</f>
        <v>51.11</v>
      </c>
      <c r="C5">
        <f>19.45*A5+24.44</f>
        <v>40</v>
      </c>
      <c r="D5">
        <f>16.65*A5+20.01</f>
        <v>33.33</v>
      </c>
      <c r="E5">
        <f>13.9*A5+16.66</f>
        <v>27.78</v>
      </c>
      <c r="F5">
        <f>11.1*A5+14.45</f>
        <v>23.33</v>
      </c>
      <c r="H5">
        <f>H4+0.2</f>
        <v>0.8</v>
      </c>
      <c r="I5">
        <f>27.783*H5+31.663</f>
        <v>53.889400000000002</v>
      </c>
      <c r="J5">
        <f>21.3*H5+25.74</f>
        <v>42.78</v>
      </c>
      <c r="K5">
        <f>16.667*H5+21.667</f>
        <v>35.000600000000006</v>
      </c>
      <c r="L5">
        <f>16.667*H5+16.667</f>
        <v>30.000600000000006</v>
      </c>
      <c r="M5">
        <f>12.033*H5+15.373</f>
        <v>24.999400000000001</v>
      </c>
      <c r="O5">
        <f>O4+0.2</f>
        <v>0.8</v>
      </c>
      <c r="P5">
        <f>27.775*O5+35.555</f>
        <v>57.774999999999999</v>
      </c>
      <c r="Q5">
        <f>22.225*O5 + 27.775</f>
        <v>45.555</v>
      </c>
      <c r="R5">
        <f>16.65*O5+24.45</f>
        <v>37.769999999999996</v>
      </c>
      <c r="S5">
        <f>13.9*O5+ 20.55</f>
        <v>31.67</v>
      </c>
      <c r="T5">
        <f>12.5*O5 + 17.5</f>
        <v>27.5</v>
      </c>
      <c r="V5">
        <f>V4+0.2</f>
        <v>0.8</v>
      </c>
      <c r="W5">
        <f>27.775*V5 + 42.22</f>
        <v>64.44</v>
      </c>
      <c r="X5">
        <f>22.225*V5+33.33</f>
        <v>51.11</v>
      </c>
      <c r="Y5">
        <f>19.45*V5+26.66</f>
        <v>42.22</v>
      </c>
      <c r="Z5">
        <f>16.675*V5+22.22</f>
        <v>35.56</v>
      </c>
      <c r="AA5">
        <f>15.275*V5+18.89</f>
        <v>31.11</v>
      </c>
    </row>
    <row r="10" spans="1:27" ht="17.25" x14ac:dyDescent="0.3">
      <c r="B10" s="160"/>
      <c r="H10" s="160"/>
    </row>
    <row r="26" spans="1:23" x14ac:dyDescent="0.25">
      <c r="A26" s="168" t="s">
        <v>268</v>
      </c>
      <c r="B26" s="168" t="s">
        <v>267</v>
      </c>
      <c r="H26" s="168" t="s">
        <v>268</v>
      </c>
      <c r="I26" s="168" t="s">
        <v>267</v>
      </c>
    </row>
    <row r="27" spans="1:23" x14ac:dyDescent="0.25">
      <c r="A27" s="161">
        <v>0.15</v>
      </c>
      <c r="B27" s="167" t="s">
        <v>232</v>
      </c>
      <c r="H27" s="161">
        <v>0.15</v>
      </c>
      <c r="I27" s="167" t="s">
        <v>237</v>
      </c>
    </row>
    <row r="28" spans="1:23" x14ac:dyDescent="0.25">
      <c r="A28" s="161">
        <v>0.4</v>
      </c>
      <c r="B28" s="167" t="s">
        <v>233</v>
      </c>
      <c r="H28" s="161">
        <v>0.4</v>
      </c>
      <c r="I28" s="167" t="s">
        <v>238</v>
      </c>
    </row>
    <row r="29" spans="1:23" x14ac:dyDescent="0.25">
      <c r="A29" s="161">
        <v>0.6</v>
      </c>
      <c r="B29" s="167" t="s">
        <v>235</v>
      </c>
      <c r="H29" s="161">
        <v>0.6</v>
      </c>
      <c r="I29" s="167" t="s">
        <v>241</v>
      </c>
      <c r="O29" s="168" t="s">
        <v>268</v>
      </c>
      <c r="P29" s="168" t="s">
        <v>267</v>
      </c>
      <c r="V29" s="168" t="s">
        <v>268</v>
      </c>
      <c r="W29" s="168" t="s">
        <v>267</v>
      </c>
    </row>
    <row r="30" spans="1:23" x14ac:dyDescent="0.25">
      <c r="A30" s="161">
        <v>0.8</v>
      </c>
      <c r="B30" s="167" t="s">
        <v>236</v>
      </c>
      <c r="H30" s="161">
        <v>0.8</v>
      </c>
      <c r="I30" s="167" t="s">
        <v>239</v>
      </c>
      <c r="O30" s="161">
        <v>0.15</v>
      </c>
      <c r="P30" s="167" t="s">
        <v>241</v>
      </c>
      <c r="V30" s="161">
        <v>0.15</v>
      </c>
      <c r="W30" s="167" t="s">
        <v>246</v>
      </c>
    </row>
    <row r="31" spans="1:23" x14ac:dyDescent="0.25">
      <c r="A31" s="161">
        <v>1</v>
      </c>
      <c r="B31" s="167" t="s">
        <v>234</v>
      </c>
      <c r="H31" s="161">
        <v>1</v>
      </c>
      <c r="I31" s="167" t="s">
        <v>240</v>
      </c>
      <c r="O31" s="161">
        <v>0.4</v>
      </c>
      <c r="P31" s="167" t="s">
        <v>242</v>
      </c>
      <c r="V31" s="161">
        <v>0.4</v>
      </c>
      <c r="W31" s="167" t="s">
        <v>247</v>
      </c>
    </row>
    <row r="32" spans="1:23" x14ac:dyDescent="0.25">
      <c r="O32" s="161">
        <v>0.6</v>
      </c>
      <c r="P32" s="167" t="s">
        <v>243</v>
      </c>
      <c r="V32" s="161">
        <v>0.6</v>
      </c>
      <c r="W32" s="167" t="s">
        <v>249</v>
      </c>
    </row>
    <row r="33" spans="15:23" x14ac:dyDescent="0.25">
      <c r="O33" s="161">
        <v>0.8</v>
      </c>
      <c r="P33" s="167" t="s">
        <v>245</v>
      </c>
      <c r="V33" s="161">
        <v>0.8</v>
      </c>
      <c r="W33" s="167" t="s">
        <v>250</v>
      </c>
    </row>
    <row r="34" spans="15:23" x14ac:dyDescent="0.25">
      <c r="O34" s="161">
        <v>1</v>
      </c>
      <c r="P34" s="167" t="s">
        <v>244</v>
      </c>
      <c r="V34" s="161">
        <v>1</v>
      </c>
      <c r="W34" s="167" t="s">
        <v>248</v>
      </c>
    </row>
  </sheetData>
  <pageMargins left="0.7" right="0.7" top="0.75" bottom="0.75" header="0.3" footer="0.3"/>
  <pageSetup orientation="portrait" horizontalDpi="1200" verticalDpi="1200" r:id="rId1"/>
  <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AA44"/>
  <sheetViews>
    <sheetView topLeftCell="M25" workbookViewId="0">
      <selection activeCell="O39" sqref="O39"/>
    </sheetView>
  </sheetViews>
  <sheetFormatPr defaultRowHeight="15" x14ac:dyDescent="0.25"/>
  <cols>
    <col min="1" max="1" width="11.5703125" customWidth="1"/>
    <col min="2" max="2" width="11" customWidth="1"/>
    <col min="9" max="9" width="11.5703125" customWidth="1"/>
    <col min="10" max="10" width="17.42578125" customWidth="1"/>
    <col min="15" max="15" width="13.7109375" customWidth="1"/>
    <col min="16" max="16" width="11" customWidth="1"/>
    <col min="23" max="23" width="11.5703125" customWidth="1"/>
    <col min="24" max="24" width="11" customWidth="1"/>
  </cols>
  <sheetData>
    <row r="1" spans="1:27" x14ac:dyDescent="0.25">
      <c r="A1" t="s">
        <v>56</v>
      </c>
      <c r="B1" s="161" t="s">
        <v>202</v>
      </c>
      <c r="C1" s="161" t="s">
        <v>203</v>
      </c>
      <c r="D1" s="161" t="s">
        <v>204</v>
      </c>
      <c r="E1" s="161" t="s">
        <v>205</v>
      </c>
      <c r="F1" s="161" t="s">
        <v>206</v>
      </c>
      <c r="H1" t="s">
        <v>56</v>
      </c>
      <c r="I1" s="161" t="s">
        <v>202</v>
      </c>
      <c r="J1" s="161" t="s">
        <v>203</v>
      </c>
      <c r="K1" s="161" t="s">
        <v>204</v>
      </c>
      <c r="L1" s="161" t="s">
        <v>205</v>
      </c>
      <c r="M1" s="161" t="s">
        <v>206</v>
      </c>
      <c r="O1" t="s">
        <v>56</v>
      </c>
      <c r="P1" s="161" t="s">
        <v>202</v>
      </c>
      <c r="Q1" s="161" t="s">
        <v>203</v>
      </c>
      <c r="R1" s="161" t="s">
        <v>204</v>
      </c>
      <c r="S1" s="161" t="s">
        <v>205</v>
      </c>
      <c r="T1" s="161" t="s">
        <v>206</v>
      </c>
      <c r="V1" t="s">
        <v>56</v>
      </c>
      <c r="W1" s="161" t="s">
        <v>202</v>
      </c>
      <c r="X1" s="161" t="s">
        <v>203</v>
      </c>
      <c r="Y1" s="161" t="s">
        <v>204</v>
      </c>
      <c r="Z1" s="161" t="s">
        <v>205</v>
      </c>
      <c r="AA1" s="161" t="s">
        <v>206</v>
      </c>
    </row>
    <row r="2" spans="1:27" ht="17.25" x14ac:dyDescent="0.3">
      <c r="A2">
        <v>0.2</v>
      </c>
      <c r="B2">
        <f>26.85*A2 + 22.41</f>
        <v>27.78</v>
      </c>
      <c r="C2">
        <f>25*A2+16.11</f>
        <v>21.11</v>
      </c>
      <c r="D2">
        <f>17.583*A2+14.263</f>
        <v>17.779599999999999</v>
      </c>
      <c r="E2">
        <f>14.817*A2+12.037</f>
        <v>15.000400000000001</v>
      </c>
      <c r="F2">
        <f>12.967*A2+9.627</f>
        <v>12.220400000000001</v>
      </c>
      <c r="H2">
        <v>0.2</v>
      </c>
      <c r="I2">
        <f>27.783*H2+24.443</f>
        <v>29.999600000000001</v>
      </c>
      <c r="J2">
        <f>24.083*H2+18.513</f>
        <v>23.329600000000003</v>
      </c>
      <c r="K2">
        <f>16.667*H2+16.667</f>
        <v>20.000400000000003</v>
      </c>
      <c r="L2" s="160">
        <f>12.95*H2+14.08</f>
        <v>16.670000000000002</v>
      </c>
      <c r="M2">
        <f>10.183*H2+12.963</f>
        <v>14.999599999999999</v>
      </c>
      <c r="O2">
        <v>0.2</v>
      </c>
      <c r="P2">
        <f>26.4*O2 + 29.16</f>
        <v>34.44</v>
      </c>
      <c r="Q2">
        <f>19.45*O2 + 24.44</f>
        <v>28.330000000000002</v>
      </c>
      <c r="R2">
        <f>13.85*O2 + 20.56</f>
        <v>23.33</v>
      </c>
      <c r="S2" s="160">
        <f>11.1*O2 + 17.78</f>
        <v>20</v>
      </c>
      <c r="T2">
        <f>11.1*O2 + 14.45</f>
        <v>16.669999999999998</v>
      </c>
      <c r="V2">
        <v>0.2</v>
      </c>
      <c r="W2">
        <f>30.55*V2 +33.89</f>
        <v>40</v>
      </c>
      <c r="X2">
        <f>23.625*V2 +27.495</f>
        <v>32.22</v>
      </c>
      <c r="Y2">
        <f>19.45*V2 +22.22</f>
        <v>26.11</v>
      </c>
      <c r="Z2" s="160">
        <f>16.675*V2 +18.885</f>
        <v>22.220000000000002</v>
      </c>
      <c r="AA2">
        <f>11.1*V2 +17.78</f>
        <v>20</v>
      </c>
    </row>
    <row r="3" spans="1:27" x14ac:dyDescent="0.25">
      <c r="A3">
        <f>A2+0.2</f>
        <v>0.4</v>
      </c>
      <c r="B3">
        <f>26.85*A3 + 22.41</f>
        <v>33.150000000000006</v>
      </c>
      <c r="C3">
        <f>25*A3+16.11</f>
        <v>26.11</v>
      </c>
      <c r="D3">
        <f>17.583*A3+14.263</f>
        <v>21.296199999999999</v>
      </c>
      <c r="E3">
        <f>14.817*A3+12.037</f>
        <v>17.963799999999999</v>
      </c>
      <c r="F3">
        <f>12.967*A3+9.627</f>
        <v>14.813800000000001</v>
      </c>
      <c r="H3">
        <f>H2+0.2</f>
        <v>0.4</v>
      </c>
      <c r="I3">
        <f>27.783*H3+24.443</f>
        <v>35.556200000000004</v>
      </c>
      <c r="J3">
        <f>24.083*H3+18.513</f>
        <v>28.1462</v>
      </c>
      <c r="K3">
        <f>16.667*H3+16.667</f>
        <v>23.333800000000004</v>
      </c>
      <c r="L3">
        <f>12.95*H3+14.08</f>
        <v>19.259999999999998</v>
      </c>
      <c r="M3">
        <f>10.183*H3+12.963</f>
        <v>17.036200000000001</v>
      </c>
      <c r="O3">
        <f>O2+0.2</f>
        <v>0.4</v>
      </c>
      <c r="P3">
        <f>26.4*O3 + 29.16</f>
        <v>39.72</v>
      </c>
      <c r="Q3">
        <f>19.45*O3 + 24.44</f>
        <v>32.22</v>
      </c>
      <c r="R3">
        <f>13.85*O3 + 20.56</f>
        <v>26.099999999999998</v>
      </c>
      <c r="S3">
        <f>11.1*O3 + 17.78</f>
        <v>22.220000000000002</v>
      </c>
      <c r="T3">
        <f>11.1*O3 + 14.45</f>
        <v>18.89</v>
      </c>
      <c r="V3">
        <f>V2+0.2</f>
        <v>0.4</v>
      </c>
      <c r="W3">
        <f>30.55*V3 +33.89</f>
        <v>46.11</v>
      </c>
      <c r="X3">
        <f>23.625*V3 +27.495</f>
        <v>36.945</v>
      </c>
      <c r="Y3">
        <f>19.45*V3 +22.22</f>
        <v>30</v>
      </c>
      <c r="Z3">
        <f>16.675*V3 +18.885</f>
        <v>25.555000000000003</v>
      </c>
      <c r="AA3">
        <f>11.1*V3 +17.78</f>
        <v>22.220000000000002</v>
      </c>
    </row>
    <row r="4" spans="1:27" x14ac:dyDescent="0.25">
      <c r="A4">
        <f>A3+0.2</f>
        <v>0.60000000000000009</v>
      </c>
      <c r="B4">
        <f>26.85*A4 + 22.41</f>
        <v>38.520000000000003</v>
      </c>
      <c r="C4">
        <f>25*A4+16.11</f>
        <v>31.11</v>
      </c>
      <c r="D4">
        <f>17.583*A4+14.263</f>
        <v>24.812800000000003</v>
      </c>
      <c r="E4">
        <f>14.817*A4+12.037</f>
        <v>20.927200000000003</v>
      </c>
      <c r="F4">
        <f>12.967*A4+9.627</f>
        <v>17.407200000000003</v>
      </c>
      <c r="H4">
        <f>H3+0.2</f>
        <v>0.60000000000000009</v>
      </c>
      <c r="I4">
        <f>27.783*H4+24.443</f>
        <v>41.112800000000007</v>
      </c>
      <c r="J4">
        <f>24.083*H4+18.513</f>
        <v>32.962800000000001</v>
      </c>
      <c r="K4">
        <f>16.667*H4+16.667</f>
        <v>26.667200000000005</v>
      </c>
      <c r="L4">
        <f>12.95*H4+14.08</f>
        <v>21.85</v>
      </c>
      <c r="M4">
        <f>10.183*H4+12.963</f>
        <v>19.072800000000001</v>
      </c>
      <c r="O4">
        <f>O3+0.2</f>
        <v>0.60000000000000009</v>
      </c>
      <c r="P4">
        <f>26.4*O4 + 29.16</f>
        <v>45</v>
      </c>
      <c r="Q4">
        <f>19.45*O4 + 24.44</f>
        <v>36.11</v>
      </c>
      <c r="R4">
        <f>13.85*O4 + 20.56</f>
        <v>28.869999999999997</v>
      </c>
      <c r="S4">
        <f>11.1*O4 + 17.78</f>
        <v>24.44</v>
      </c>
      <c r="T4">
        <f>11.1*O4 + 14.45</f>
        <v>21.11</v>
      </c>
      <c r="V4">
        <f>V3+0.2</f>
        <v>0.60000000000000009</v>
      </c>
      <c r="W4">
        <f>30.55*V4 +33.89</f>
        <v>52.22</v>
      </c>
      <c r="X4">
        <f>23.625*V4 +27.495</f>
        <v>41.67</v>
      </c>
      <c r="Y4">
        <f>19.45*V4 +22.22</f>
        <v>33.89</v>
      </c>
      <c r="Z4">
        <f>16.675*V4 +18.885</f>
        <v>28.890000000000004</v>
      </c>
      <c r="AA4">
        <f>11.1*V4 +17.78</f>
        <v>24.44</v>
      </c>
    </row>
    <row r="5" spans="1:27" x14ac:dyDescent="0.25">
      <c r="A5">
        <f>A4+0.2</f>
        <v>0.8</v>
      </c>
      <c r="B5">
        <f>26.85*A5 + 22.41</f>
        <v>43.89</v>
      </c>
      <c r="C5">
        <f>25*A5+16.11</f>
        <v>36.11</v>
      </c>
      <c r="D5">
        <f>17.583*A5+14.263</f>
        <v>28.3294</v>
      </c>
      <c r="E5">
        <f>14.817*A5+12.037</f>
        <v>23.890599999999999</v>
      </c>
      <c r="F5">
        <f>12.967*A5+9.627</f>
        <v>20.000600000000002</v>
      </c>
      <c r="H5">
        <f>H4+0.2</f>
        <v>0.8</v>
      </c>
      <c r="I5">
        <f>27.783*H5+24.443</f>
        <v>46.669400000000003</v>
      </c>
      <c r="J5">
        <f>24.083*H5+18.513</f>
        <v>37.779400000000003</v>
      </c>
      <c r="K5">
        <f>16.667*H5+16.667</f>
        <v>30.000600000000006</v>
      </c>
      <c r="L5">
        <f>12.95*H5+14.08</f>
        <v>24.439999999999998</v>
      </c>
      <c r="M5">
        <f>10.183*H5+12.963</f>
        <v>21.109400000000001</v>
      </c>
      <c r="O5">
        <f>O4+0.2</f>
        <v>0.8</v>
      </c>
      <c r="P5">
        <f>26.4*O5 + 29.16</f>
        <v>50.28</v>
      </c>
      <c r="Q5">
        <f>19.45*O5 + 24.44</f>
        <v>40</v>
      </c>
      <c r="R5">
        <f>13.85*O5 + 20.56</f>
        <v>31.64</v>
      </c>
      <c r="S5">
        <f>11.1*O5 + 17.78</f>
        <v>26.660000000000004</v>
      </c>
      <c r="T5">
        <f>11.1*O5 + 14.45</f>
        <v>23.33</v>
      </c>
      <c r="V5">
        <f>V4+0.2</f>
        <v>0.8</v>
      </c>
      <c r="W5">
        <f>30.55*V5 +33.89</f>
        <v>58.33</v>
      </c>
      <c r="X5">
        <f>23.625*V5 +27.495</f>
        <v>46.395000000000003</v>
      </c>
      <c r="Y5">
        <f>19.45*V5 +22.22</f>
        <v>37.78</v>
      </c>
      <c r="Z5">
        <f>16.675*V5 +18.885</f>
        <v>32.225000000000001</v>
      </c>
      <c r="AA5">
        <f>11.1*V5 +17.78</f>
        <v>26.660000000000004</v>
      </c>
    </row>
    <row r="8" spans="1:27" ht="17.25" x14ac:dyDescent="0.3">
      <c r="A8" s="160"/>
    </row>
    <row r="30" spans="1:10" x14ac:dyDescent="0.25">
      <c r="A30" s="168" t="s">
        <v>268</v>
      </c>
      <c r="B30" s="168" t="s">
        <v>267</v>
      </c>
    </row>
    <row r="31" spans="1:10" x14ac:dyDescent="0.25">
      <c r="A31" s="161">
        <v>0.15</v>
      </c>
      <c r="B31" s="167" t="s">
        <v>251</v>
      </c>
      <c r="I31" s="168" t="s">
        <v>268</v>
      </c>
      <c r="J31" s="168" t="s">
        <v>267</v>
      </c>
    </row>
    <row r="32" spans="1:10" x14ac:dyDescent="0.25">
      <c r="A32" s="161">
        <v>0.4</v>
      </c>
      <c r="B32" s="167" t="s">
        <v>252</v>
      </c>
      <c r="I32" s="161">
        <v>0.15</v>
      </c>
      <c r="J32" s="167" t="s">
        <v>256</v>
      </c>
    </row>
    <row r="33" spans="1:24" x14ac:dyDescent="0.25">
      <c r="A33" s="161">
        <v>0.6</v>
      </c>
      <c r="B33" s="167" t="s">
        <v>253</v>
      </c>
      <c r="I33" s="161">
        <v>0.4</v>
      </c>
      <c r="J33" s="167" t="s">
        <v>257</v>
      </c>
      <c r="W33" s="168" t="s">
        <v>268</v>
      </c>
      <c r="X33" s="168" t="s">
        <v>267</v>
      </c>
    </row>
    <row r="34" spans="1:24" x14ac:dyDescent="0.25">
      <c r="A34" s="161">
        <v>0.8</v>
      </c>
      <c r="B34" s="167" t="s">
        <v>255</v>
      </c>
      <c r="I34" s="161">
        <v>0.6</v>
      </c>
      <c r="J34" s="167" t="s">
        <v>239</v>
      </c>
      <c r="W34" s="161">
        <v>0.15</v>
      </c>
      <c r="X34" s="167" t="s">
        <v>262</v>
      </c>
    </row>
    <row r="35" spans="1:24" x14ac:dyDescent="0.25">
      <c r="A35" s="161">
        <v>1</v>
      </c>
      <c r="B35" s="167" t="s">
        <v>254</v>
      </c>
      <c r="I35" s="161">
        <v>0.8</v>
      </c>
      <c r="J35" s="167" t="s">
        <v>259</v>
      </c>
      <c r="W35" s="161">
        <v>0.4</v>
      </c>
      <c r="X35" s="167" t="s">
        <v>264</v>
      </c>
    </row>
    <row r="36" spans="1:24" x14ac:dyDescent="0.25">
      <c r="I36" s="161">
        <v>1</v>
      </c>
      <c r="J36" s="167" t="s">
        <v>258</v>
      </c>
      <c r="W36" s="161">
        <v>0.6</v>
      </c>
      <c r="X36" s="167" t="s">
        <v>265</v>
      </c>
    </row>
    <row r="37" spans="1:24" x14ac:dyDescent="0.25">
      <c r="W37" s="161">
        <v>0.8</v>
      </c>
      <c r="X37" s="167" t="s">
        <v>266</v>
      </c>
    </row>
    <row r="38" spans="1:24" x14ac:dyDescent="0.25">
      <c r="W38" s="161">
        <v>1</v>
      </c>
      <c r="X38" s="167" t="s">
        <v>263</v>
      </c>
    </row>
    <row r="39" spans="1:24" x14ac:dyDescent="0.25">
      <c r="O39" s="168" t="s">
        <v>268</v>
      </c>
      <c r="P39" s="168" t="s">
        <v>267</v>
      </c>
    </row>
    <row r="40" spans="1:24" x14ac:dyDescent="0.25">
      <c r="O40" s="161">
        <v>0.15</v>
      </c>
      <c r="P40" s="167" t="s">
        <v>260</v>
      </c>
    </row>
    <row r="41" spans="1:24" x14ac:dyDescent="0.25">
      <c r="O41" s="161">
        <v>0.4</v>
      </c>
      <c r="P41" s="167" t="s">
        <v>233</v>
      </c>
    </row>
    <row r="42" spans="1:24" x14ac:dyDescent="0.25">
      <c r="O42" s="161">
        <v>0.6</v>
      </c>
      <c r="P42" s="167" t="s">
        <v>261</v>
      </c>
    </row>
    <row r="43" spans="1:24" x14ac:dyDescent="0.25">
      <c r="O43" s="161">
        <v>0.8</v>
      </c>
      <c r="P43" s="167" t="s">
        <v>261</v>
      </c>
    </row>
    <row r="44" spans="1:24" x14ac:dyDescent="0.25">
      <c r="O44" s="161">
        <v>1</v>
      </c>
      <c r="P44" s="167" t="s">
        <v>234</v>
      </c>
    </row>
  </sheetData>
  <pageMargins left="0.7" right="0.7" top="0.75" bottom="0.75" header="0.3" footer="0.3"/>
  <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C17"/>
  <sheetViews>
    <sheetView workbookViewId="0">
      <selection activeCell="B14" sqref="B14"/>
    </sheetView>
  </sheetViews>
  <sheetFormatPr defaultRowHeight="15" x14ac:dyDescent="0.25"/>
  <cols>
    <col min="1" max="1" width="69.42578125" customWidth="1"/>
    <col min="2" max="2" width="27.28515625" customWidth="1"/>
    <col min="3" max="3" width="14.7109375" customWidth="1"/>
  </cols>
  <sheetData>
    <row r="1" spans="1:3" x14ac:dyDescent="0.25">
      <c r="A1" t="s">
        <v>157</v>
      </c>
      <c r="B1" t="str">
        <f>'CEM II, Mix Design'!D6</f>
        <v>20mm</v>
      </c>
      <c r="C1" t="str">
        <f>VLOOKUP(B1, SheetNames, 2, FALSE)</f>
        <v>Figure 6, 20mm</v>
      </c>
    </row>
    <row r="2" spans="1:3" x14ac:dyDescent="0.25">
      <c r="A2" t="s">
        <v>26</v>
      </c>
      <c r="B2" t="str">
        <f>'CEM II, Mix Design'!D3</f>
        <v>10-30mm</v>
      </c>
    </row>
    <row r="3" spans="1:3" x14ac:dyDescent="0.25">
      <c r="A3" t="s">
        <v>164</v>
      </c>
      <c r="B3" s="165">
        <v>0.98199999999999998</v>
      </c>
    </row>
    <row r="4" spans="1:3" x14ac:dyDescent="0.25">
      <c r="A4" s="159" t="s">
        <v>56</v>
      </c>
      <c r="B4">
        <v>0.4</v>
      </c>
    </row>
    <row r="5" spans="1:3" x14ac:dyDescent="0.25">
      <c r="A5" s="159" t="s">
        <v>198</v>
      </c>
    </row>
    <row r="6" spans="1:3" x14ac:dyDescent="0.25">
      <c r="B6" t="s">
        <v>269</v>
      </c>
    </row>
    <row r="17" spans="2:2" x14ac:dyDescent="0.25">
      <c r="B17" t="s">
        <v>199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9218" r:id="rId4" name="CalculateButton">
          <controlPr defaultSize="0" autoLine="0" r:id="rId5">
            <anchor moveWithCells="1">
              <from>
                <xdr:col>3</xdr:col>
                <xdr:colOff>180975</xdr:colOff>
                <xdr:row>1</xdr:row>
                <xdr:rowOff>47625</xdr:rowOff>
              </from>
              <to>
                <xdr:col>5</xdr:col>
                <xdr:colOff>600075</xdr:colOff>
                <xdr:row>2</xdr:row>
                <xdr:rowOff>180975</xdr:rowOff>
              </to>
            </anchor>
          </controlPr>
        </control>
      </mc:Choice>
      <mc:Fallback>
        <control shapeId="9218" r:id="rId4" name="CalculateButt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4"/>
  <sheetViews>
    <sheetView workbookViewId="0">
      <selection activeCell="B4" sqref="B4"/>
    </sheetView>
  </sheetViews>
  <sheetFormatPr defaultRowHeight="15" x14ac:dyDescent="0.25"/>
  <cols>
    <col min="1" max="1" width="23" customWidth="1"/>
    <col min="2" max="2" width="28.140625" customWidth="1"/>
  </cols>
  <sheetData>
    <row r="1" spans="1:2" x14ac:dyDescent="0.25">
      <c r="A1" t="s">
        <v>166</v>
      </c>
      <c r="B1" t="s">
        <v>167</v>
      </c>
    </row>
    <row r="2" spans="1:2" x14ac:dyDescent="0.25">
      <c r="A2" t="s">
        <v>168</v>
      </c>
      <c r="B2" t="s">
        <v>169</v>
      </c>
    </row>
    <row r="3" spans="1:2" x14ac:dyDescent="0.25">
      <c r="A3" t="s">
        <v>117</v>
      </c>
      <c r="B3" t="s">
        <v>170</v>
      </c>
    </row>
    <row r="4" spans="1:2" x14ac:dyDescent="0.25">
      <c r="A4" t="s">
        <v>171</v>
      </c>
      <c r="B4" t="s">
        <v>172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5"/>
  <sheetViews>
    <sheetView workbookViewId="0">
      <selection activeCell="B5" sqref="B5"/>
    </sheetView>
  </sheetViews>
  <sheetFormatPr defaultRowHeight="15" x14ac:dyDescent="0.25"/>
  <cols>
    <col min="1" max="1" width="33.85546875" customWidth="1"/>
    <col min="2" max="2" width="28.42578125" customWidth="1"/>
  </cols>
  <sheetData>
    <row r="1" spans="1:2" x14ac:dyDescent="0.25">
      <c r="A1" t="s">
        <v>166</v>
      </c>
      <c r="B1" t="s">
        <v>176</v>
      </c>
    </row>
    <row r="2" spans="1:2" x14ac:dyDescent="0.25">
      <c r="A2" t="s">
        <v>177</v>
      </c>
      <c r="B2" t="s">
        <v>173</v>
      </c>
    </row>
    <row r="3" spans="1:2" x14ac:dyDescent="0.25">
      <c r="A3" t="s">
        <v>163</v>
      </c>
      <c r="B3" t="s">
        <v>115</v>
      </c>
    </row>
    <row r="4" spans="1:2" x14ac:dyDescent="0.25">
      <c r="A4" t="s">
        <v>178</v>
      </c>
      <c r="B4" t="s">
        <v>174</v>
      </c>
    </row>
    <row r="5" spans="1:2" x14ac:dyDescent="0.25">
      <c r="A5" t="s">
        <v>179</v>
      </c>
      <c r="B5" t="s">
        <v>175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</vt:i4>
      </vt:variant>
    </vt:vector>
  </HeadingPairs>
  <TitlesOfParts>
    <vt:vector size="22" baseType="lpstr">
      <vt:lpstr>e, CEM I</vt:lpstr>
      <vt:lpstr>e, CEM II</vt:lpstr>
      <vt:lpstr>e, CEM prompts</vt:lpstr>
      <vt:lpstr>Sheet2</vt:lpstr>
      <vt:lpstr>Sheet2 prompts</vt:lpstr>
      <vt:lpstr>f, CEM I</vt:lpstr>
      <vt:lpstr>f, CEM II</vt:lpstr>
      <vt:lpstr>CEM II, Mix Design</vt:lpstr>
      <vt:lpstr>BRE Mix Design Charts</vt:lpstr>
      <vt:lpstr>BRE prompts</vt:lpstr>
      <vt:lpstr>FIGURE 6, 10mm</vt:lpstr>
      <vt:lpstr>FIGURE 6, 20mm</vt:lpstr>
      <vt:lpstr>FIGURE 6, 40mm</vt:lpstr>
      <vt:lpstr>Figure6 prompts</vt:lpstr>
      <vt:lpstr>SheetNames</vt:lpstr>
      <vt:lpstr>SheetNames_Slump</vt:lpstr>
      <vt:lpstr>Range_0</vt:lpstr>
      <vt:lpstr>Range_10</vt:lpstr>
      <vt:lpstr>Range_15</vt:lpstr>
      <vt:lpstr>Range_5</vt:lpstr>
      <vt:lpstr>SheetNames</vt:lpstr>
      <vt:lpstr>SlumpDropdownOptions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Blevine Wanjala</cp:lastModifiedBy>
  <dcterms:created xsi:type="dcterms:W3CDTF">2023-06-26T15:32:34Z</dcterms:created>
  <dcterms:modified xsi:type="dcterms:W3CDTF">2023-12-16T16:13:13Z</dcterms:modified>
</cp:coreProperties>
</file>